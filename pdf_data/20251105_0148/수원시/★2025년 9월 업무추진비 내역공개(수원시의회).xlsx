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esktop\★총괄 인수인계 자료\★ 의회운영 업무추진비\2025\25년 9월\"/>
    </mc:Choice>
  </mc:AlternateContent>
  <bookViews>
    <workbookView xWindow="0" yWindow="0" windowWidth="25740" windowHeight="10980" tabRatio="711"/>
  </bookViews>
  <sheets>
    <sheet name="의장" sheetId="21" r:id="rId1"/>
    <sheet name="부의장" sheetId="22" r:id="rId2"/>
    <sheet name="의회운영" sheetId="33" r:id="rId3"/>
    <sheet name="도시미래" sheetId="38" r:id="rId4"/>
    <sheet name="기획경제" sheetId="24" r:id="rId5"/>
    <sheet name="환경안전" sheetId="31" r:id="rId6"/>
    <sheet name="문화체육" sheetId="34" r:id="rId7"/>
    <sheet name="보건복지" sheetId="32" r:id="rId8"/>
  </sheets>
  <definedNames>
    <definedName name="_xlnm.Print_Area" localSheetId="4">기획경제!$A$1:$H$7</definedName>
    <definedName name="_xlnm.Print_Area" localSheetId="3">도시미래!$A$1:$H$11</definedName>
    <definedName name="_xlnm.Print_Area" localSheetId="6">문화체육!$A$1:$H$12</definedName>
    <definedName name="_xlnm.Print_Area" localSheetId="7">보건복지!$A$1:$H$7</definedName>
    <definedName name="_xlnm.Print_Area" localSheetId="1">부의장!$A$1:$H$14</definedName>
    <definedName name="_xlnm.Print_Area" localSheetId="0">의장!$A$1:$H$39</definedName>
    <definedName name="_xlnm.Print_Area" localSheetId="2">의회운영!$A$1:$H$8</definedName>
    <definedName name="_xlnm.Print_Area" localSheetId="5">환경안전!$A$1:$H$15</definedName>
  </definedNames>
  <calcPr calcId="162913"/>
</workbook>
</file>

<file path=xl/calcChain.xml><?xml version="1.0" encoding="utf-8"?>
<calcChain xmlns="http://schemas.openxmlformats.org/spreadsheetml/2006/main">
  <c r="G3" i="32" l="1"/>
  <c r="F3" i="32"/>
  <c r="E3" i="32"/>
  <c r="F3" i="34" l="1"/>
  <c r="E3" i="34"/>
  <c r="F3" i="38"/>
  <c r="E3" i="38"/>
  <c r="F3" i="33"/>
  <c r="E3" i="33"/>
  <c r="F3" i="22"/>
  <c r="E3" i="22"/>
  <c r="F3" i="21"/>
  <c r="E3" i="21"/>
  <c r="G3" i="31"/>
  <c r="F3" i="31"/>
  <c r="E3" i="31"/>
</calcChain>
</file>

<file path=xl/sharedStrings.xml><?xml version="1.0" encoding="utf-8"?>
<sst xmlns="http://schemas.openxmlformats.org/spreadsheetml/2006/main" count="613" uniqueCount="222">
  <si>
    <t>사용자</t>
    <phoneticPr fontId="2" type="noConversion"/>
  </si>
  <si>
    <t>집행목적</t>
    <phoneticPr fontId="2" type="noConversion"/>
  </si>
  <si>
    <t>결제방법</t>
    <phoneticPr fontId="2" type="noConversion"/>
  </si>
  <si>
    <t>비목</t>
    <phoneticPr fontId="2" type="noConversion"/>
  </si>
  <si>
    <t>대상인원수(명)</t>
    <phoneticPr fontId="2" type="noConversion"/>
  </si>
  <si>
    <t>금액(원)</t>
    <phoneticPr fontId="2" type="noConversion"/>
  </si>
  <si>
    <t>사용일시</t>
    <phoneticPr fontId="2" type="noConversion"/>
  </si>
  <si>
    <t>사용장소</t>
    <phoneticPr fontId="2" type="noConversion"/>
  </si>
  <si>
    <t>의회운영위원장</t>
    <phoneticPr fontId="2" type="noConversion"/>
  </si>
  <si>
    <t>환경안전위원장</t>
    <phoneticPr fontId="2" type="noConversion"/>
  </si>
  <si>
    <t>의장</t>
    <phoneticPr fontId="2" type="noConversion"/>
  </si>
  <si>
    <t>신용카드</t>
    <phoneticPr fontId="2" type="noConversion"/>
  </si>
  <si>
    <t>업무추진</t>
    <phoneticPr fontId="2" type="noConversion"/>
  </si>
  <si>
    <t>커피영역</t>
    <phoneticPr fontId="2" type="noConversion"/>
  </si>
  <si>
    <t>인정플라워</t>
    <phoneticPr fontId="2" type="noConversion"/>
  </si>
  <si>
    <t>뜰16호점 커피전문점</t>
    <phoneticPr fontId="2" type="noConversion"/>
  </si>
  <si>
    <t>현안사항 관련 대화 후 급식비 및 차담비(의장) 지출 건의</t>
    <phoneticPr fontId="2" type="noConversion"/>
  </si>
  <si>
    <t>소담비빔국수수원본점</t>
    <phoneticPr fontId="2" type="noConversion"/>
  </si>
  <si>
    <t>바우네나주곰탕(세류점)</t>
    <phoneticPr fontId="2" type="noConversion"/>
  </si>
  <si>
    <t>-</t>
    <phoneticPr fontId="2" type="noConversion"/>
  </si>
  <si>
    <t>글림</t>
    <phoneticPr fontId="2" type="noConversion"/>
  </si>
  <si>
    <t>소반낙지마당</t>
    <phoneticPr fontId="2" type="noConversion"/>
  </si>
  <si>
    <t>오정설렁탕</t>
    <phoneticPr fontId="2" type="noConversion"/>
  </si>
  <si>
    <t>카페머그</t>
    <phoneticPr fontId="2" type="noConversion"/>
  </si>
  <si>
    <t>고색수인선닭발</t>
    <phoneticPr fontId="2" type="noConversion"/>
  </si>
  <si>
    <t>2025년 9월 업무추진비 집행내역(의장)</t>
    <phoneticPr fontId="2" type="noConversion"/>
  </si>
  <si>
    <t>2025.9.1. 09:38</t>
    <phoneticPr fontId="2" type="noConversion"/>
  </si>
  <si>
    <t>의회소속 직원 격려를 위한 간식비(의장) 지출 건의</t>
    <phoneticPr fontId="2" type="noConversion"/>
  </si>
  <si>
    <t>2025.9.1. 16:52</t>
    <phoneticPr fontId="2" type="noConversion"/>
  </si>
  <si>
    <t>현안사항 관련 대화 후 급식비(의장) 지출 건의</t>
    <phoneticPr fontId="2" type="noConversion"/>
  </si>
  <si>
    <t>2025.9.2. 19:13</t>
    <phoneticPr fontId="2" type="noConversion"/>
  </si>
  <si>
    <t>궁 차이나</t>
    <phoneticPr fontId="2" type="noConversion"/>
  </si>
  <si>
    <t>2025.9.3. 09:39</t>
    <phoneticPr fontId="2" type="noConversion"/>
  </si>
  <si>
    <t>의회소속 직원 격려를 위한 차담비(의장) 지출 건의</t>
    <phoneticPr fontId="2" type="noConversion"/>
  </si>
  <si>
    <t>2025.9.3. 12:45</t>
    <phoneticPr fontId="2" type="noConversion"/>
  </si>
  <si>
    <t>옥유정</t>
    <phoneticPr fontId="2" type="noConversion"/>
  </si>
  <si>
    <t>2025.9.3. 15:55</t>
    <phoneticPr fontId="2" type="noConversion"/>
  </si>
  <si>
    <t>파리바게뜨신영통자이점</t>
    <phoneticPr fontId="2" type="noConversion"/>
  </si>
  <si>
    <t>2025.9.3. 19:20</t>
    <phoneticPr fontId="2" type="noConversion"/>
  </si>
  <si>
    <t>남도식당</t>
    <phoneticPr fontId="2" type="noConversion"/>
  </si>
  <si>
    <t>2025.9.4. 10:02</t>
    <phoneticPr fontId="2" type="noConversion"/>
  </si>
  <si>
    <t>선 건강카페 샘</t>
    <phoneticPr fontId="2" type="noConversion"/>
  </si>
  <si>
    <t>현안사항 관련 대화 후 차담비(의장) 지출 건의</t>
    <phoneticPr fontId="2" type="noConversion"/>
  </si>
  <si>
    <t>2025.9.6. 12:28</t>
    <phoneticPr fontId="2" type="noConversion"/>
  </si>
  <si>
    <t>본맛송탄부대찌개</t>
    <phoneticPr fontId="2" type="noConversion"/>
  </si>
  <si>
    <t>2025.9.7. 12:24</t>
    <phoneticPr fontId="2" type="noConversion"/>
  </si>
  <si>
    <t>투썸플레이스 수원영통구청점</t>
    <phoneticPr fontId="2" type="noConversion"/>
  </si>
  <si>
    <t>2025.9.8. 13:01</t>
    <phoneticPr fontId="2" type="noConversion"/>
  </si>
  <si>
    <t>2025.9.8. 13:24</t>
    <phoneticPr fontId="2" type="noConversion"/>
  </si>
  <si>
    <t>경기신용보증재단 수원광교지점 개점식 축하를 위한 화분 구입</t>
    <phoneticPr fontId="2" type="noConversion"/>
  </si>
  <si>
    <t>2025.9.8. 17:58</t>
    <phoneticPr fontId="2" type="noConversion"/>
  </si>
  <si>
    <t>2025.9.9. 08:46</t>
    <phoneticPr fontId="2" type="noConversion"/>
  </si>
  <si>
    <t>2025.9.9. 12:19</t>
    <phoneticPr fontId="2" type="noConversion"/>
  </si>
  <si>
    <t>2025.9.9. 20:13</t>
    <phoneticPr fontId="2" type="noConversion"/>
  </si>
  <si>
    <t>별법동태탕왕해물찜</t>
    <phoneticPr fontId="2" type="noConversion"/>
  </si>
  <si>
    <t>2025.9.10. 12:01</t>
    <phoneticPr fontId="2" type="noConversion"/>
  </si>
  <si>
    <t>리디자인카페알</t>
    <phoneticPr fontId="2" type="noConversion"/>
  </si>
  <si>
    <t>2025.9.11. 17:56</t>
    <phoneticPr fontId="2" type="noConversion"/>
  </si>
  <si>
    <t>주식회사 신해물천지</t>
    <phoneticPr fontId="2" type="noConversion"/>
  </si>
  <si>
    <t>2025.9.12. 18:05</t>
    <phoneticPr fontId="2" type="noConversion"/>
  </si>
  <si>
    <t>2025.9.13. 13:17</t>
    <phoneticPr fontId="2" type="noConversion"/>
  </si>
  <si>
    <t>송원코다리</t>
    <phoneticPr fontId="2" type="noConversion"/>
  </si>
  <si>
    <t>2025.9.17. 19:27</t>
    <phoneticPr fontId="2" type="noConversion"/>
  </si>
  <si>
    <t>의회소속 직원 격려를 위한 급식비 및 차담비(의장) 지출 건의</t>
    <phoneticPr fontId="2" type="noConversion"/>
  </si>
  <si>
    <t>2025.9.18. 12:52</t>
    <phoneticPr fontId="2" type="noConversion"/>
  </si>
  <si>
    <t>2025.9.18. 19:41</t>
    <phoneticPr fontId="2" type="noConversion"/>
  </si>
  <si>
    <t>고향우렁이마을</t>
    <phoneticPr fontId="2" type="noConversion"/>
  </si>
  <si>
    <t>2025.9.18. 19:47</t>
    <phoneticPr fontId="2" type="noConversion"/>
  </si>
  <si>
    <t>2025.9.19. 11:59</t>
    <phoneticPr fontId="2" type="noConversion"/>
  </si>
  <si>
    <t>2025.9.19. 17:34</t>
    <phoneticPr fontId="2" type="noConversion"/>
  </si>
  <si>
    <t>진미통닭</t>
    <phoneticPr fontId="2" type="noConversion"/>
  </si>
  <si>
    <t>2025.9.20. 11:30</t>
    <phoneticPr fontId="2" type="noConversion"/>
  </si>
  <si>
    <t>밀종베이커리카페</t>
    <phoneticPr fontId="2" type="noConversion"/>
  </si>
  <si>
    <t>2025.9.20. 12:15</t>
    <phoneticPr fontId="2" type="noConversion"/>
  </si>
  <si>
    <t>백년돌판짜장 교동짬뽕</t>
    <phoneticPr fontId="2" type="noConversion"/>
  </si>
  <si>
    <t>2025.9.22. 12:03</t>
    <phoneticPr fontId="2" type="noConversion"/>
  </si>
  <si>
    <t>둥근상시골집</t>
    <phoneticPr fontId="2" type="noConversion"/>
  </si>
  <si>
    <t>2025.9.22. 12:20</t>
    <phoneticPr fontId="2" type="noConversion"/>
  </si>
  <si>
    <t>2025.9.23. 18:13</t>
    <phoneticPr fontId="2" type="noConversion"/>
  </si>
  <si>
    <t>2025.9.24. 10:22</t>
    <phoneticPr fontId="2" type="noConversion"/>
  </si>
  <si>
    <t>카페테라스</t>
    <phoneticPr fontId="2" type="noConversion"/>
  </si>
  <si>
    <t>2025.9.24. 11:57</t>
    <phoneticPr fontId="2" type="noConversion"/>
  </si>
  <si>
    <t>2025.9.28. 10:09</t>
    <phoneticPr fontId="2" type="noConversion"/>
  </si>
  <si>
    <t>카페나드리</t>
    <phoneticPr fontId="2" type="noConversion"/>
  </si>
  <si>
    <t>2025.9.29. 13:13</t>
    <phoneticPr fontId="2" type="noConversion"/>
  </si>
  <si>
    <t>대풍숯불갈비</t>
    <phoneticPr fontId="2" type="noConversion"/>
  </si>
  <si>
    <t>2025.9.29. 13:29</t>
    <phoneticPr fontId="2" type="noConversion"/>
  </si>
  <si>
    <t>달달</t>
    <phoneticPr fontId="2" type="noConversion"/>
  </si>
  <si>
    <t>2025.09.04. 20:56</t>
    <phoneticPr fontId="2" type="noConversion"/>
  </si>
  <si>
    <t>백년불고기</t>
    <phoneticPr fontId="2" type="noConversion"/>
  </si>
  <si>
    <t>직원격려 따른 급식비</t>
    <phoneticPr fontId="2" type="noConversion"/>
  </si>
  <si>
    <t>2025.09.09. 20:10</t>
    <phoneticPr fontId="2" type="noConversion"/>
  </si>
  <si>
    <t>아삼모사</t>
    <phoneticPr fontId="2" type="noConversion"/>
  </si>
  <si>
    <t>2025.09.11. 20:58</t>
    <phoneticPr fontId="2" type="noConversion"/>
  </si>
  <si>
    <t>낙중지생</t>
    <phoneticPr fontId="2" type="noConversion"/>
  </si>
  <si>
    <t>2025.09.18. 12:10</t>
    <phoneticPr fontId="2" type="noConversion"/>
  </si>
  <si>
    <t>우계골</t>
    <phoneticPr fontId="2" type="noConversion"/>
  </si>
  <si>
    <t>간담회개최 따른 급식비</t>
    <phoneticPr fontId="2" type="noConversion"/>
  </si>
  <si>
    <t>2025.09.18. 12:17</t>
    <phoneticPr fontId="2" type="noConversion"/>
  </si>
  <si>
    <t>투썸플레이스</t>
    <phoneticPr fontId="2" type="noConversion"/>
  </si>
  <si>
    <t>간담회개최 따른 차담비</t>
    <phoneticPr fontId="2" type="noConversion"/>
  </si>
  <si>
    <t>부의장</t>
  </si>
  <si>
    <t>2025. 09. 01. 14:30</t>
    <phoneticPr fontId="2" type="noConversion"/>
  </si>
  <si>
    <t>석산정</t>
    <phoneticPr fontId="2" type="noConversion"/>
  </si>
  <si>
    <t>간담회에 따른 식사비</t>
    <phoneticPr fontId="2" type="noConversion"/>
  </si>
  <si>
    <t>2025. 09. 03. 21:04</t>
    <phoneticPr fontId="2" type="noConversion"/>
  </si>
  <si>
    <t>구운정</t>
    <phoneticPr fontId="2" type="noConversion"/>
  </si>
  <si>
    <t>2025. 09. 05. 20:12</t>
    <phoneticPr fontId="2" type="noConversion"/>
  </si>
  <si>
    <t>카야마구로</t>
    <phoneticPr fontId="2" type="noConversion"/>
  </si>
  <si>
    <t>2025. 09. 10. 19:09</t>
    <phoneticPr fontId="2" type="noConversion"/>
  </si>
  <si>
    <t>양마담</t>
    <phoneticPr fontId="2" type="noConversion"/>
  </si>
  <si>
    <t>2025. 09. 11. 18:28</t>
    <phoneticPr fontId="2" type="noConversion"/>
  </si>
  <si>
    <t>궁전</t>
    <phoneticPr fontId="2" type="noConversion"/>
  </si>
  <si>
    <t>2025. 09. 15. 12:19</t>
    <phoneticPr fontId="2" type="noConversion"/>
  </si>
  <si>
    <t>서영진참치초밥</t>
    <phoneticPr fontId="2" type="noConversion"/>
  </si>
  <si>
    <t>2025. 09. 15. 20:06</t>
    <phoneticPr fontId="2" type="noConversion"/>
  </si>
  <si>
    <t>2025. 09. 17. 12:05</t>
    <phoneticPr fontId="2" type="noConversion"/>
  </si>
  <si>
    <t>송호동태전문점</t>
    <phoneticPr fontId="2" type="noConversion"/>
  </si>
  <si>
    <t>2025. 09. 19. 13:04</t>
    <phoneticPr fontId="2" type="noConversion"/>
  </si>
  <si>
    <t>꾸석지돌판한우</t>
    <phoneticPr fontId="2" type="noConversion"/>
  </si>
  <si>
    <t>2025. 09. 29. 12:16</t>
    <phoneticPr fontId="2" type="noConversion"/>
  </si>
  <si>
    <t>천년면가 교동짬뽕</t>
    <phoneticPr fontId="2" type="noConversion"/>
  </si>
  <si>
    <t>2025. 09. 30. 20:56</t>
    <phoneticPr fontId="2" type="noConversion"/>
  </si>
  <si>
    <t>2025년 9월 업무추진비 집행내역(부의장)</t>
    <phoneticPr fontId="2" type="noConversion"/>
  </si>
  <si>
    <t>2025년 9월 업무추진비 집행내역(의회운영위원회)</t>
    <phoneticPr fontId="2" type="noConversion"/>
  </si>
  <si>
    <t>2025년 9월 업무추진비 집행내역(기획경제위원회)</t>
    <phoneticPr fontId="2" type="noConversion"/>
  </si>
  <si>
    <t>2025년 9월 업무추진비 집행내역(도시미래위원회)</t>
    <phoneticPr fontId="2" type="noConversion"/>
  </si>
  <si>
    <t>2025년 9월 업무추진비 집행내역(환경안전위원회)</t>
    <phoneticPr fontId="2" type="noConversion"/>
  </si>
  <si>
    <t>2025년 9월 업무추진비 집행내역(문화체육위원회)</t>
    <phoneticPr fontId="2" type="noConversion"/>
  </si>
  <si>
    <t>2025년 9월 업무추진비 집행내역(보건복지위원회)</t>
    <phoneticPr fontId="2" type="noConversion"/>
  </si>
  <si>
    <t>수원축산농협 한우프라자</t>
    <phoneticPr fontId="16" type="noConversion"/>
  </si>
  <si>
    <t>간담회개최에 따른 급식비</t>
    <phoneticPr fontId="2" type="noConversion"/>
  </si>
  <si>
    <t>우계골</t>
    <phoneticPr fontId="16" type="noConversion"/>
  </si>
  <si>
    <t>새빛건강카페샘</t>
    <phoneticPr fontId="16" type="noConversion"/>
  </si>
  <si>
    <t>간담회개최에 따른 차담비</t>
    <phoneticPr fontId="2" type="noConversion"/>
  </si>
  <si>
    <t>별들의 고향</t>
    <phoneticPr fontId="16" type="noConversion"/>
  </si>
  <si>
    <t>현대꽃화원</t>
    <phoneticPr fontId="16" type="noConversion"/>
  </si>
  <si>
    <t>표창 수상에 따른 축하 꽃다발</t>
    <phoneticPr fontId="2" type="noConversion"/>
  </si>
  <si>
    <t>끝내주는항암동태찌개</t>
    <phoneticPr fontId="16" type="noConversion"/>
  </si>
  <si>
    <t>직원격려에 따른 급식비</t>
    <phoneticPr fontId="2" type="noConversion"/>
  </si>
  <si>
    <t>글림</t>
    <phoneticPr fontId="16" type="noConversion"/>
  </si>
  <si>
    <t>직원격려에 따른 차담비</t>
    <phoneticPr fontId="2" type="noConversion"/>
  </si>
  <si>
    <t>충남상회</t>
    <phoneticPr fontId="16" type="noConversion"/>
  </si>
  <si>
    <t>도시미래위원회 직원격려 명절 선물</t>
    <phoneticPr fontId="2" type="noConversion"/>
  </si>
  <si>
    <t>문화체육교육위원회</t>
  </si>
  <si>
    <t>2025.09.02. 12:24</t>
  </si>
  <si>
    <t>이디야커피</t>
  </si>
  <si>
    <t>간담회에 따른 차담비</t>
  </si>
  <si>
    <t>신용카드</t>
  </si>
  <si>
    <t>업무추진</t>
  </si>
  <si>
    <t>2025.09.05. 13:12</t>
  </si>
  <si>
    <t>보돌미역</t>
  </si>
  <si>
    <t>간담회에 따른 급식비</t>
  </si>
  <si>
    <t>2025.09.09. 12:18</t>
  </si>
  <si>
    <t>건강밥상심마니</t>
  </si>
  <si>
    <t>2025.09.10. 13:08</t>
  </si>
  <si>
    <t>㈜대가원</t>
  </si>
  <si>
    <t>2025.09.22. 13:19</t>
  </si>
  <si>
    <t>빠네비노</t>
  </si>
  <si>
    <t>2025.09.22. 19:32</t>
  </si>
  <si>
    <t>정진식당</t>
  </si>
  <si>
    <t>2025.09.23. 11:51</t>
  </si>
  <si>
    <t>부안바지락촌</t>
  </si>
  <si>
    <t>직원 격려에 따른 급식비</t>
  </si>
  <si>
    <t>2025.09.24. 18:27</t>
  </si>
  <si>
    <t>순대지존</t>
  </si>
  <si>
    <t>2025.09.29. 12:25</t>
  </si>
  <si>
    <t>좋은고기</t>
  </si>
  <si>
    <t>2025.09.01. 12:38</t>
    <phoneticPr fontId="2" type="noConversion"/>
  </si>
  <si>
    <t>환경안전위원회 간담회 개최에 따른 차담비</t>
    <phoneticPr fontId="2" type="noConversion"/>
  </si>
  <si>
    <t>2025.09.02. 18:33</t>
    <phoneticPr fontId="2" type="noConversion"/>
  </si>
  <si>
    <t>2025.09.04. 20:24</t>
    <phoneticPr fontId="2" type="noConversion"/>
  </si>
  <si>
    <t>동해한정식</t>
    <phoneticPr fontId="2" type="noConversion"/>
  </si>
  <si>
    <t>환경안전위원회 간담회 개최에 따른 급식비</t>
    <phoneticPr fontId="2" type="noConversion"/>
  </si>
  <si>
    <t>2025.09.05. 12:11</t>
    <phoneticPr fontId="2" type="noConversion"/>
  </si>
  <si>
    <t>옛맛손두부청국장</t>
    <phoneticPr fontId="2" type="noConversion"/>
  </si>
  <si>
    <t>2025.09.05. 12:17</t>
    <phoneticPr fontId="2" type="noConversion"/>
  </si>
  <si>
    <t>쉬즈베이글</t>
    <phoneticPr fontId="2" type="noConversion"/>
  </si>
  <si>
    <t>2025.09.05. 21:33</t>
    <phoneticPr fontId="2" type="noConversion"/>
  </si>
  <si>
    <t>2025.09.24. 21:33</t>
    <phoneticPr fontId="2" type="noConversion"/>
  </si>
  <si>
    <t>해화참치</t>
    <phoneticPr fontId="2" type="noConversion"/>
  </si>
  <si>
    <t>2025.09.25. 11:57</t>
    <phoneticPr fontId="2" type="noConversion"/>
  </si>
  <si>
    <t>신수미</t>
    <phoneticPr fontId="2" type="noConversion"/>
  </si>
  <si>
    <t>2025.09.25. 11:58</t>
    <phoneticPr fontId="2" type="noConversion"/>
  </si>
  <si>
    <t>소르샘</t>
    <phoneticPr fontId="2" type="noConversion"/>
  </si>
  <si>
    <t>2025.09.29. 11:14</t>
    <phoneticPr fontId="2" type="noConversion"/>
  </si>
  <si>
    <t>홈플러스㈜동수원점</t>
    <phoneticPr fontId="2" type="noConversion"/>
  </si>
  <si>
    <t>환경안전위원회 소속 직원 명절 선물 구입</t>
    <phoneticPr fontId="2" type="noConversion"/>
  </si>
  <si>
    <t>2025.09.29. 13:10</t>
    <phoneticPr fontId="2" type="noConversion"/>
  </si>
  <si>
    <t>하우유두인</t>
    <phoneticPr fontId="2" type="noConversion"/>
  </si>
  <si>
    <t>2025.09.30. 12:21</t>
    <phoneticPr fontId="2" type="noConversion"/>
  </si>
  <si>
    <t>새빛건강카페샘</t>
    <phoneticPr fontId="2" type="noConversion"/>
  </si>
  <si>
    <t>계</t>
    <phoneticPr fontId="2" type="noConversion"/>
  </si>
  <si>
    <t>총 36건</t>
    <phoneticPr fontId="2" type="noConversion"/>
  </si>
  <si>
    <t>총 11건</t>
    <phoneticPr fontId="2" type="noConversion"/>
  </si>
  <si>
    <t>총 5건</t>
    <phoneticPr fontId="2" type="noConversion"/>
  </si>
  <si>
    <t>총 8건</t>
    <phoneticPr fontId="2" type="noConversion"/>
  </si>
  <si>
    <t>도시미래위원장</t>
    <phoneticPr fontId="2" type="noConversion"/>
  </si>
  <si>
    <t>계</t>
    <phoneticPr fontId="2" type="noConversion"/>
  </si>
  <si>
    <t>총 9건</t>
    <phoneticPr fontId="2" type="noConversion"/>
  </si>
  <si>
    <t>보건복지위원장</t>
    <phoneticPr fontId="2" type="noConversion"/>
  </si>
  <si>
    <t>기획경제위원장</t>
    <phoneticPr fontId="2" type="noConversion"/>
  </si>
  <si>
    <t>2025.09.05. 12:30</t>
    <phoneticPr fontId="16" type="noConversion"/>
  </si>
  <si>
    <t>스타벅스</t>
    <phoneticPr fontId="2" type="noConversion"/>
  </si>
  <si>
    <t>기획경제위원회 차담비 지출</t>
    <phoneticPr fontId="2" type="noConversion"/>
  </si>
  <si>
    <t>2025.09.09. 12:00</t>
    <phoneticPr fontId="2" type="noConversion"/>
  </si>
  <si>
    <t>기획경제위원회 급식비 지출</t>
    <phoneticPr fontId="2" type="noConversion"/>
  </si>
  <si>
    <t>2025.09.15. 11:30</t>
    <phoneticPr fontId="2" type="noConversion"/>
  </si>
  <si>
    <t>송탄참작부대찌개</t>
    <phoneticPr fontId="2" type="noConversion"/>
  </si>
  <si>
    <t>2025.09.16. 13:00</t>
    <phoneticPr fontId="2" type="noConversion"/>
  </si>
  <si>
    <t>2025.09.05. 12:35</t>
    <phoneticPr fontId="2" type="noConversion"/>
  </si>
  <si>
    <t>연화담</t>
    <phoneticPr fontId="2" type="noConversion"/>
  </si>
  <si>
    <t>간담회에 따른 급식비</t>
    <phoneticPr fontId="2" type="noConversion"/>
  </si>
  <si>
    <t>2025.09.05. 20:38</t>
    <phoneticPr fontId="2" type="noConversion"/>
  </si>
  <si>
    <t>2025.09.23. 17:08</t>
    <phoneticPr fontId="2" type="noConversion"/>
  </si>
  <si>
    <t>고은화원</t>
    <phoneticPr fontId="2" type="noConversion"/>
  </si>
  <si>
    <t>표창 수상에 따른 축하 꽃다발 구입</t>
    <phoneticPr fontId="2" type="noConversion"/>
  </si>
  <si>
    <t>2025.09.29. 10:25</t>
    <phoneticPr fontId="2" type="noConversion"/>
  </si>
  <si>
    <t>마루팜</t>
    <phoneticPr fontId="2" type="noConversion"/>
  </si>
  <si>
    <t>보건복지위원회 소속 직원 명절 선물 구입비 지출 건의</t>
    <phoneticPr fontId="2" type="noConversion"/>
  </si>
  <si>
    <t>계</t>
    <phoneticPr fontId="2" type="noConversion"/>
  </si>
  <si>
    <t>총 4건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</si>
</sst>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);[Red]\(#,##0\)"/>
    <numFmt numFmtId="177" formatCode="h:mm;@"/>
    <numFmt numFmtId="179" formatCode="#,###"/>
    <numFmt numFmtId="180" formatCode="0_);[Red]\(0\)"/>
    <numFmt numFmtId="181" formatCode="&quot;총&quot;#&quot;건&quot;"/>
  </numFmts>
  <fonts count="2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3" fillId="0" borderId="1" applyNumberFormat="0" applyFill="0" applyAlignment="0" applyProtection="0">
      <alignment vertical="center"/>
    </xf>
    <xf numFmtId="0" fontId="4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41" fontId="5" fillId="0" borderId="5" xfId="4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0" fontId="10" fillId="2" borderId="0" xfId="0" applyFont="1" applyFill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shrinkToFit="1"/>
    </xf>
    <xf numFmtId="176" fontId="9" fillId="3" borderId="3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41" fontId="9" fillId="3" borderId="3" xfId="4" applyFont="1" applyFill="1" applyBorder="1" applyAlignment="1">
      <alignment horizontal="center" vertical="center"/>
    </xf>
    <xf numFmtId="22" fontId="9" fillId="3" borderId="3" xfId="0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1" fillId="2" borderId="0" xfId="0" applyFont="1" applyFill="1">
      <alignment vertical="center"/>
    </xf>
    <xf numFmtId="0" fontId="11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41" fontId="0" fillId="0" borderId="0" xfId="4" applyFont="1" applyAlignment="1">
      <alignment horizontal="right" vertical="center"/>
    </xf>
    <xf numFmtId="177" fontId="12" fillId="0" borderId="5" xfId="0" applyNumberFormat="1" applyFont="1" applyBorder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5" fillId="0" borderId="4" xfId="4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176" fontId="5" fillId="0" borderId="4" xfId="0" applyNumberFormat="1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9" fontId="5" fillId="0" borderId="6" xfId="0" applyNumberFormat="1" applyFont="1" applyFill="1" applyBorder="1" applyAlignment="1">
      <alignment horizontal="left" vertical="center" shrinkToFit="1"/>
    </xf>
    <xf numFmtId="0" fontId="5" fillId="0" borderId="5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14" fillId="0" borderId="5" xfId="0" applyNumberFormat="1" applyFont="1" applyBorder="1" applyAlignment="1">
      <alignment horizontal="right"/>
    </xf>
    <xf numFmtId="41" fontId="9" fillId="0" borderId="5" xfId="4" applyFont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22" fontId="5" fillId="0" borderId="5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right" vertical="center"/>
    </xf>
    <xf numFmtId="14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41" fontId="9" fillId="2" borderId="7" xfId="4" applyFont="1" applyFill="1" applyBorder="1" applyAlignment="1">
      <alignment horizontal="center" vertical="center"/>
    </xf>
    <xf numFmtId="181" fontId="9" fillId="2" borderId="8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41" fontId="9" fillId="0" borderId="4" xfId="4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179" fontId="17" fillId="0" borderId="5" xfId="0" applyNumberFormat="1" applyFont="1" applyBorder="1" applyAlignment="1">
      <alignment horizontal="right"/>
    </xf>
    <xf numFmtId="180" fontId="18" fillId="0" borderId="5" xfId="0" applyNumberFormat="1" applyFont="1" applyFill="1" applyBorder="1" applyAlignment="1">
      <alignment horizontal="center" vertical="center"/>
    </xf>
    <xf numFmtId="41" fontId="18" fillId="0" borderId="5" xfId="4" applyFont="1" applyFill="1" applyBorder="1" applyAlignment="1">
      <alignment horizontal="right" vertical="center"/>
    </xf>
    <xf numFmtId="0" fontId="9" fillId="0" borderId="4" xfId="0" applyFont="1" applyFill="1" applyBorder="1" applyAlignment="1">
      <alignment horizontal="center" vertical="center"/>
    </xf>
    <xf numFmtId="0" fontId="19" fillId="0" borderId="5" xfId="0" applyNumberFormat="1" applyFont="1" applyFill="1" applyBorder="1" applyAlignment="1">
      <alignment horizontal="center" vertical="center"/>
    </xf>
    <xf numFmtId="180" fontId="19" fillId="0" borderId="5" xfId="0" applyNumberFormat="1" applyFont="1" applyFill="1" applyBorder="1" applyAlignment="1">
      <alignment horizontal="center" vertical="center"/>
    </xf>
    <xf numFmtId="41" fontId="19" fillId="0" borderId="5" xfId="4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180" fontId="5" fillId="2" borderId="4" xfId="0" applyNumberFormat="1" applyFont="1" applyFill="1" applyBorder="1" applyAlignment="1">
      <alignment horizontal="center" vertical="center"/>
    </xf>
    <xf numFmtId="41" fontId="5" fillId="2" borderId="4" xfId="4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14" fontId="15" fillId="0" borderId="9" xfId="0" applyNumberFormat="1" applyFont="1" applyFill="1" applyBorder="1" applyAlignment="1">
      <alignment horizontal="center" vertical="center"/>
    </xf>
    <xf numFmtId="14" fontId="19" fillId="0" borderId="9" xfId="0" applyNumberFormat="1" applyFont="1" applyFill="1" applyBorder="1" applyAlignment="1">
      <alignment horizontal="center" vertical="center"/>
    </xf>
    <xf numFmtId="14" fontId="10" fillId="0" borderId="7" xfId="0" applyNumberFormat="1" applyFont="1" applyFill="1" applyBorder="1" applyAlignment="1">
      <alignment horizontal="center" vertical="center" shrinkToFit="1"/>
    </xf>
    <xf numFmtId="14" fontId="5" fillId="0" borderId="4" xfId="0" applyNumberFormat="1" applyFont="1" applyFill="1" applyBorder="1" applyAlignment="1">
      <alignment horizontal="center" vertical="center" shrinkToFit="1"/>
    </xf>
    <xf numFmtId="3" fontId="9" fillId="0" borderId="5" xfId="0" applyNumberFormat="1" applyFont="1" applyBorder="1" applyAlignment="1">
      <alignment horizontal="right" vertical="center"/>
    </xf>
    <xf numFmtId="14" fontId="9" fillId="0" borderId="5" xfId="0" applyNumberFormat="1" applyFont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1" fontId="5" fillId="0" borderId="5" xfId="4" applyFont="1" applyBorder="1" applyAlignment="1">
      <alignment horizontal="center" vertical="center" shrinkToFit="1"/>
    </xf>
    <xf numFmtId="41" fontId="8" fillId="2" borderId="5" xfId="4" applyFont="1" applyFill="1" applyBorder="1" applyAlignment="1">
      <alignment horizontal="center" vertical="center" shrinkToFit="1"/>
    </xf>
    <xf numFmtId="41" fontId="8" fillId="2" borderId="5" xfId="4" applyFont="1" applyFill="1" applyBorder="1">
      <alignment vertical="center"/>
    </xf>
    <xf numFmtId="41" fontId="5" fillId="0" borderId="5" xfId="4" applyFont="1" applyBorder="1">
      <alignment vertical="center"/>
    </xf>
    <xf numFmtId="14" fontId="9" fillId="2" borderId="10" xfId="0" applyNumberFormat="1" applyFont="1" applyFill="1" applyBorder="1" applyAlignment="1">
      <alignment horizontal="center" vertical="center"/>
    </xf>
    <xf numFmtId="22" fontId="9" fillId="2" borderId="11" xfId="0" applyNumberFormat="1" applyFont="1" applyFill="1" applyBorder="1" applyAlignment="1">
      <alignment horizontal="center" vertical="center"/>
    </xf>
    <xf numFmtId="3" fontId="9" fillId="2" borderId="7" xfId="0" applyNumberFormat="1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22" fontId="5" fillId="0" borderId="1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22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176" fontId="5" fillId="0" borderId="18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1" fontId="20" fillId="2" borderId="5" xfId="4" applyFont="1" applyFill="1" applyBorder="1" applyAlignment="1">
      <alignment horizontal="center" vertical="center" shrinkToFit="1"/>
    </xf>
    <xf numFmtId="41" fontId="20" fillId="2" borderId="5" xfId="4" applyFont="1" applyFill="1" applyBorder="1" applyAlignment="1">
      <alignment horizontal="center" vertical="center"/>
    </xf>
  </cellXfs>
  <cellStyles count="5">
    <cellStyle name="쉼표 [0]" xfId="4" builtinId="6"/>
    <cellStyle name="연결된 셀 2" xfId="2"/>
    <cellStyle name="표준" xfId="0" builtinId="0"/>
    <cellStyle name="표준 2" xfId="1"/>
    <cellStyle name="표준 3" xfId="3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1"/>
  <sheetViews>
    <sheetView tabSelected="1" view="pageBreakPreview" zoomScale="85" zoomScaleNormal="100" zoomScaleSheetLayoutView="85" workbookViewId="0">
      <selection activeCell="C16" sqref="C16"/>
    </sheetView>
  </sheetViews>
  <sheetFormatPr defaultRowHeight="16.5"/>
  <cols>
    <col min="1" max="1" width="10.375" style="3" customWidth="1"/>
    <col min="2" max="2" width="19.25" style="3" customWidth="1"/>
    <col min="3" max="3" width="26.25" style="14" customWidth="1"/>
    <col min="4" max="4" width="48.5" style="1" customWidth="1"/>
    <col min="5" max="5" width="12.75" style="2" customWidth="1"/>
    <col min="6" max="6" width="13.875" style="1" customWidth="1"/>
    <col min="7" max="7" width="12.625" style="1" customWidth="1"/>
    <col min="8" max="8" width="10.875" style="1" customWidth="1"/>
    <col min="9" max="18" width="9" style="5"/>
    <col min="19" max="16384" width="9" style="4"/>
  </cols>
  <sheetData>
    <row r="1" spans="1:18" ht="26.25">
      <c r="A1" s="74" t="s">
        <v>25</v>
      </c>
      <c r="B1" s="74"/>
      <c r="C1" s="74"/>
      <c r="D1" s="74"/>
      <c r="E1" s="74"/>
      <c r="F1" s="74"/>
      <c r="G1" s="74"/>
      <c r="H1" s="74"/>
    </row>
    <row r="2" spans="1:18" s="13" customFormat="1" ht="17.25" thickBot="1">
      <c r="A2" s="16" t="s">
        <v>0</v>
      </c>
      <c r="B2" s="16" t="s">
        <v>6</v>
      </c>
      <c r="C2" s="17" t="s">
        <v>7</v>
      </c>
      <c r="D2" s="15" t="s">
        <v>1</v>
      </c>
      <c r="E2" s="18" t="s">
        <v>4</v>
      </c>
      <c r="F2" s="15" t="s">
        <v>5</v>
      </c>
      <c r="G2" s="15" t="s">
        <v>2</v>
      </c>
      <c r="H2" s="15" t="s">
        <v>3</v>
      </c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7.25" thickTop="1">
      <c r="A3" s="28"/>
      <c r="B3" s="35"/>
      <c r="C3" s="36"/>
      <c r="D3" s="73" t="s">
        <v>198</v>
      </c>
      <c r="E3" s="55">
        <f>SUM(E4:E39)</f>
        <v>361</v>
      </c>
      <c r="F3" s="39">
        <f>SUM(F4:F39)</f>
        <v>3189050</v>
      </c>
      <c r="G3" s="51" t="s">
        <v>193</v>
      </c>
      <c r="H3" s="8"/>
    </row>
    <row r="4" spans="1:18">
      <c r="A4" s="28" t="s">
        <v>10</v>
      </c>
      <c r="B4" s="35" t="s">
        <v>26</v>
      </c>
      <c r="C4" s="36" t="s">
        <v>13</v>
      </c>
      <c r="D4" s="34" t="s">
        <v>27</v>
      </c>
      <c r="E4" s="9">
        <v>30</v>
      </c>
      <c r="F4" s="56">
        <v>175500</v>
      </c>
      <c r="G4" s="8" t="s">
        <v>11</v>
      </c>
      <c r="H4" s="8" t="s">
        <v>12</v>
      </c>
    </row>
    <row r="5" spans="1:18">
      <c r="A5" s="28" t="s">
        <v>10</v>
      </c>
      <c r="B5" s="35" t="s">
        <v>28</v>
      </c>
      <c r="C5" s="36" t="s">
        <v>24</v>
      </c>
      <c r="D5" s="34" t="s">
        <v>29</v>
      </c>
      <c r="E5" s="9">
        <v>4</v>
      </c>
      <c r="F5" s="56">
        <v>37000</v>
      </c>
      <c r="G5" s="8" t="s">
        <v>11</v>
      </c>
      <c r="H5" s="8" t="s">
        <v>12</v>
      </c>
    </row>
    <row r="6" spans="1:18">
      <c r="A6" s="28" t="s">
        <v>10</v>
      </c>
      <c r="B6" s="35" t="s">
        <v>30</v>
      </c>
      <c r="C6" s="36" t="s">
        <v>31</v>
      </c>
      <c r="D6" s="34" t="s">
        <v>29</v>
      </c>
      <c r="E6" s="9">
        <v>3</v>
      </c>
      <c r="F6" s="56">
        <v>36000</v>
      </c>
      <c r="G6" s="8" t="s">
        <v>11</v>
      </c>
      <c r="H6" s="8" t="s">
        <v>12</v>
      </c>
    </row>
    <row r="7" spans="1:18">
      <c r="A7" s="28" t="s">
        <v>10</v>
      </c>
      <c r="B7" s="11" t="s">
        <v>32</v>
      </c>
      <c r="C7" s="36" t="s">
        <v>13</v>
      </c>
      <c r="D7" s="34" t="s">
        <v>33</v>
      </c>
      <c r="E7" s="9">
        <v>15</v>
      </c>
      <c r="F7" s="56">
        <v>77500</v>
      </c>
      <c r="G7" s="8" t="s">
        <v>11</v>
      </c>
      <c r="H7" s="8" t="s">
        <v>12</v>
      </c>
    </row>
    <row r="8" spans="1:18">
      <c r="A8" s="28" t="s">
        <v>10</v>
      </c>
      <c r="B8" s="11" t="s">
        <v>34</v>
      </c>
      <c r="C8" s="36" t="s">
        <v>35</v>
      </c>
      <c r="D8" s="34" t="s">
        <v>29</v>
      </c>
      <c r="E8" s="9">
        <v>20</v>
      </c>
      <c r="F8" s="56">
        <v>490000</v>
      </c>
      <c r="G8" s="8" t="s">
        <v>11</v>
      </c>
      <c r="H8" s="8" t="s">
        <v>12</v>
      </c>
    </row>
    <row r="9" spans="1:18">
      <c r="A9" s="28" t="s">
        <v>10</v>
      </c>
      <c r="B9" s="11" t="s">
        <v>36</v>
      </c>
      <c r="C9" s="36" t="s">
        <v>37</v>
      </c>
      <c r="D9" s="34" t="s">
        <v>27</v>
      </c>
      <c r="E9" s="9">
        <v>15</v>
      </c>
      <c r="F9" s="56">
        <v>46950</v>
      </c>
      <c r="G9" s="8" t="s">
        <v>11</v>
      </c>
      <c r="H9" s="8" t="s">
        <v>12</v>
      </c>
    </row>
    <row r="10" spans="1:18">
      <c r="A10" s="28" t="s">
        <v>10</v>
      </c>
      <c r="B10" s="11" t="s">
        <v>38</v>
      </c>
      <c r="C10" s="36" t="s">
        <v>39</v>
      </c>
      <c r="D10" s="34" t="s">
        <v>29</v>
      </c>
      <c r="E10" s="9">
        <v>3</v>
      </c>
      <c r="F10" s="56">
        <v>30000</v>
      </c>
      <c r="G10" s="8" t="s">
        <v>11</v>
      </c>
      <c r="H10" s="8" t="s">
        <v>12</v>
      </c>
    </row>
    <row r="11" spans="1:18">
      <c r="A11" s="28" t="s">
        <v>10</v>
      </c>
      <c r="B11" s="11" t="s">
        <v>40</v>
      </c>
      <c r="C11" s="36" t="s">
        <v>41</v>
      </c>
      <c r="D11" s="34" t="s">
        <v>42</v>
      </c>
      <c r="E11" s="9">
        <v>25</v>
      </c>
      <c r="F11" s="56">
        <v>87500</v>
      </c>
      <c r="G11" s="8" t="s">
        <v>11</v>
      </c>
      <c r="H11" s="8" t="s">
        <v>12</v>
      </c>
    </row>
    <row r="12" spans="1:18">
      <c r="A12" s="28" t="s">
        <v>10</v>
      </c>
      <c r="B12" s="11" t="s">
        <v>43</v>
      </c>
      <c r="C12" s="36" t="s">
        <v>44</v>
      </c>
      <c r="D12" s="34" t="s">
        <v>16</v>
      </c>
      <c r="E12" s="9">
        <v>10</v>
      </c>
      <c r="F12" s="56">
        <v>136000</v>
      </c>
      <c r="G12" s="8" t="s">
        <v>11</v>
      </c>
      <c r="H12" s="8" t="s">
        <v>12</v>
      </c>
    </row>
    <row r="13" spans="1:18">
      <c r="A13" s="28" t="s">
        <v>10</v>
      </c>
      <c r="B13" s="11" t="s">
        <v>45</v>
      </c>
      <c r="C13" s="36" t="s">
        <v>46</v>
      </c>
      <c r="D13" s="34" t="s">
        <v>42</v>
      </c>
      <c r="E13" s="9">
        <v>5</v>
      </c>
      <c r="F13" s="56">
        <v>30000</v>
      </c>
      <c r="G13" s="8" t="s">
        <v>11</v>
      </c>
      <c r="H13" s="8" t="s">
        <v>12</v>
      </c>
    </row>
    <row r="14" spans="1:18">
      <c r="A14" s="28" t="s">
        <v>10</v>
      </c>
      <c r="B14" s="11" t="s">
        <v>47</v>
      </c>
      <c r="C14" s="36" t="s">
        <v>20</v>
      </c>
      <c r="D14" s="34" t="s">
        <v>42</v>
      </c>
      <c r="E14" s="9">
        <v>9</v>
      </c>
      <c r="F14" s="56">
        <v>47300</v>
      </c>
      <c r="G14" s="8" t="s">
        <v>11</v>
      </c>
      <c r="H14" s="8" t="s">
        <v>12</v>
      </c>
    </row>
    <row r="15" spans="1:18">
      <c r="A15" s="28" t="s">
        <v>10</v>
      </c>
      <c r="B15" s="11" t="s">
        <v>48</v>
      </c>
      <c r="C15" s="36" t="s">
        <v>14</v>
      </c>
      <c r="D15" s="34" t="s">
        <v>49</v>
      </c>
      <c r="E15" s="9" t="s">
        <v>19</v>
      </c>
      <c r="F15" s="56">
        <v>150000</v>
      </c>
      <c r="G15" s="8" t="s">
        <v>11</v>
      </c>
      <c r="H15" s="8" t="s">
        <v>12</v>
      </c>
    </row>
    <row r="16" spans="1:18">
      <c r="A16" s="28" t="s">
        <v>10</v>
      </c>
      <c r="B16" s="11" t="s">
        <v>50</v>
      </c>
      <c r="C16" s="36" t="s">
        <v>18</v>
      </c>
      <c r="D16" s="34" t="s">
        <v>29</v>
      </c>
      <c r="E16" s="9">
        <v>3</v>
      </c>
      <c r="F16" s="56">
        <v>29000</v>
      </c>
      <c r="G16" s="8" t="s">
        <v>11</v>
      </c>
      <c r="H16" s="8" t="s">
        <v>12</v>
      </c>
    </row>
    <row r="17" spans="1:8">
      <c r="A17" s="28" t="s">
        <v>10</v>
      </c>
      <c r="B17" s="11" t="s">
        <v>51</v>
      </c>
      <c r="C17" s="36" t="s">
        <v>13</v>
      </c>
      <c r="D17" s="34" t="s">
        <v>27</v>
      </c>
      <c r="E17" s="9">
        <v>20</v>
      </c>
      <c r="F17" s="56">
        <v>94000</v>
      </c>
      <c r="G17" s="8" t="s">
        <v>11</v>
      </c>
      <c r="H17" s="8" t="s">
        <v>12</v>
      </c>
    </row>
    <row r="18" spans="1:8">
      <c r="A18" s="28" t="s">
        <v>10</v>
      </c>
      <c r="B18" s="11" t="s">
        <v>52</v>
      </c>
      <c r="C18" s="35" t="s">
        <v>23</v>
      </c>
      <c r="D18" s="34" t="s">
        <v>42</v>
      </c>
      <c r="E18" s="9">
        <v>9</v>
      </c>
      <c r="F18" s="10">
        <v>29700</v>
      </c>
      <c r="G18" s="8" t="s">
        <v>11</v>
      </c>
      <c r="H18" s="8" t="s">
        <v>12</v>
      </c>
    </row>
    <row r="19" spans="1:8">
      <c r="A19" s="28" t="s">
        <v>10</v>
      </c>
      <c r="B19" s="11" t="s">
        <v>53</v>
      </c>
      <c r="C19" s="35" t="s">
        <v>54</v>
      </c>
      <c r="D19" s="34" t="s">
        <v>29</v>
      </c>
      <c r="E19" s="9">
        <v>4</v>
      </c>
      <c r="F19" s="10">
        <v>46000</v>
      </c>
      <c r="G19" s="8" t="s">
        <v>11</v>
      </c>
      <c r="H19" s="8" t="s">
        <v>12</v>
      </c>
    </row>
    <row r="20" spans="1:8">
      <c r="A20" s="28" t="s">
        <v>10</v>
      </c>
      <c r="B20" s="11" t="s">
        <v>55</v>
      </c>
      <c r="C20" s="35" t="s">
        <v>56</v>
      </c>
      <c r="D20" s="34" t="s">
        <v>42</v>
      </c>
      <c r="E20" s="9">
        <v>7</v>
      </c>
      <c r="F20" s="10">
        <v>35000</v>
      </c>
      <c r="G20" s="8" t="s">
        <v>11</v>
      </c>
      <c r="H20" s="8" t="s">
        <v>12</v>
      </c>
    </row>
    <row r="21" spans="1:8">
      <c r="A21" s="28" t="s">
        <v>10</v>
      </c>
      <c r="B21" s="28" t="s">
        <v>57</v>
      </c>
      <c r="C21" s="35" t="s">
        <v>58</v>
      </c>
      <c r="D21" s="34" t="s">
        <v>16</v>
      </c>
      <c r="E21" s="9">
        <v>8</v>
      </c>
      <c r="F21" s="10">
        <v>116000</v>
      </c>
      <c r="G21" s="8" t="s">
        <v>11</v>
      </c>
      <c r="H21" s="8" t="s">
        <v>12</v>
      </c>
    </row>
    <row r="22" spans="1:8">
      <c r="A22" s="28" t="s">
        <v>10</v>
      </c>
      <c r="B22" s="11" t="s">
        <v>59</v>
      </c>
      <c r="C22" s="35" t="s">
        <v>21</v>
      </c>
      <c r="D22" s="34" t="s">
        <v>29</v>
      </c>
      <c r="E22" s="9">
        <v>3</v>
      </c>
      <c r="F22" s="10">
        <v>47700</v>
      </c>
      <c r="G22" s="8" t="s">
        <v>11</v>
      </c>
      <c r="H22" s="8" t="s">
        <v>12</v>
      </c>
    </row>
    <row r="23" spans="1:8">
      <c r="A23" s="28" t="s">
        <v>10</v>
      </c>
      <c r="B23" s="28" t="s">
        <v>60</v>
      </c>
      <c r="C23" s="35" t="s">
        <v>61</v>
      </c>
      <c r="D23" s="34" t="s">
        <v>16</v>
      </c>
      <c r="E23" s="9">
        <v>5</v>
      </c>
      <c r="F23" s="10">
        <v>58000</v>
      </c>
      <c r="G23" s="8" t="s">
        <v>11</v>
      </c>
      <c r="H23" s="8" t="s">
        <v>12</v>
      </c>
    </row>
    <row r="24" spans="1:8">
      <c r="A24" s="28" t="s">
        <v>10</v>
      </c>
      <c r="B24" s="28" t="s">
        <v>62</v>
      </c>
      <c r="C24" s="35" t="s">
        <v>54</v>
      </c>
      <c r="D24" s="34" t="s">
        <v>63</v>
      </c>
      <c r="E24" s="9">
        <v>7</v>
      </c>
      <c r="F24" s="10">
        <v>134000</v>
      </c>
      <c r="G24" s="8" t="s">
        <v>11</v>
      </c>
      <c r="H24" s="8" t="s">
        <v>12</v>
      </c>
    </row>
    <row r="25" spans="1:8">
      <c r="A25" s="28" t="s">
        <v>10</v>
      </c>
      <c r="B25" s="28" t="s">
        <v>64</v>
      </c>
      <c r="C25" s="35" t="s">
        <v>13</v>
      </c>
      <c r="D25" s="34" t="s">
        <v>42</v>
      </c>
      <c r="E25" s="9">
        <v>13</v>
      </c>
      <c r="F25" s="10">
        <v>65500</v>
      </c>
      <c r="G25" s="8" t="s">
        <v>11</v>
      </c>
      <c r="H25" s="8" t="s">
        <v>12</v>
      </c>
    </row>
    <row r="26" spans="1:8">
      <c r="A26" s="28" t="s">
        <v>10</v>
      </c>
      <c r="B26" s="28" t="s">
        <v>65</v>
      </c>
      <c r="C26" s="35" t="s">
        <v>66</v>
      </c>
      <c r="D26" s="34" t="s">
        <v>29</v>
      </c>
      <c r="E26" s="9">
        <v>14</v>
      </c>
      <c r="F26" s="10">
        <v>224000</v>
      </c>
      <c r="G26" s="8" t="s">
        <v>11</v>
      </c>
      <c r="H26" s="8" t="s">
        <v>12</v>
      </c>
    </row>
    <row r="27" spans="1:8">
      <c r="A27" s="28" t="s">
        <v>10</v>
      </c>
      <c r="B27" s="28" t="s">
        <v>67</v>
      </c>
      <c r="C27" s="37" t="s">
        <v>15</v>
      </c>
      <c r="D27" s="34" t="s">
        <v>42</v>
      </c>
      <c r="E27" s="9">
        <v>10</v>
      </c>
      <c r="F27" s="10">
        <v>33000</v>
      </c>
      <c r="G27" s="8" t="s">
        <v>11</v>
      </c>
      <c r="H27" s="8" t="s">
        <v>12</v>
      </c>
    </row>
    <row r="28" spans="1:8">
      <c r="A28" s="28" t="s">
        <v>10</v>
      </c>
      <c r="B28" s="28" t="s">
        <v>68</v>
      </c>
      <c r="C28" s="37" t="s">
        <v>22</v>
      </c>
      <c r="D28" s="34" t="s">
        <v>29</v>
      </c>
      <c r="E28" s="9">
        <v>3</v>
      </c>
      <c r="F28" s="10">
        <v>36000</v>
      </c>
      <c r="G28" s="8" t="s">
        <v>11</v>
      </c>
      <c r="H28" s="8" t="s">
        <v>12</v>
      </c>
    </row>
    <row r="29" spans="1:8">
      <c r="A29" s="28" t="s">
        <v>10</v>
      </c>
      <c r="B29" s="28" t="s">
        <v>69</v>
      </c>
      <c r="C29" s="37" t="s">
        <v>70</v>
      </c>
      <c r="D29" s="34" t="s">
        <v>16</v>
      </c>
      <c r="E29" s="9">
        <v>3</v>
      </c>
      <c r="F29" s="10">
        <v>42000</v>
      </c>
      <c r="G29" s="8" t="s">
        <v>11</v>
      </c>
      <c r="H29" s="8" t="s">
        <v>12</v>
      </c>
    </row>
    <row r="30" spans="1:8">
      <c r="A30" s="28" t="s">
        <v>10</v>
      </c>
      <c r="B30" s="28" t="s">
        <v>71</v>
      </c>
      <c r="C30" s="35" t="s">
        <v>72</v>
      </c>
      <c r="D30" s="34" t="s">
        <v>16</v>
      </c>
      <c r="E30" s="9">
        <v>23</v>
      </c>
      <c r="F30" s="10">
        <v>117300</v>
      </c>
      <c r="G30" s="8" t="s">
        <v>11</v>
      </c>
      <c r="H30" s="8" t="s">
        <v>12</v>
      </c>
    </row>
    <row r="31" spans="1:8">
      <c r="A31" s="28" t="s">
        <v>10</v>
      </c>
      <c r="B31" s="28" t="s">
        <v>73</v>
      </c>
      <c r="C31" s="35" t="s">
        <v>74</v>
      </c>
      <c r="D31" s="34" t="s">
        <v>16</v>
      </c>
      <c r="E31" s="9">
        <v>3</v>
      </c>
      <c r="F31" s="10">
        <v>34000</v>
      </c>
      <c r="G31" s="8" t="s">
        <v>11</v>
      </c>
      <c r="H31" s="8" t="s">
        <v>12</v>
      </c>
    </row>
    <row r="32" spans="1:8">
      <c r="A32" s="28" t="s">
        <v>10</v>
      </c>
      <c r="B32" s="28" t="s">
        <v>75</v>
      </c>
      <c r="C32" s="35" t="s">
        <v>76</v>
      </c>
      <c r="D32" s="34" t="s">
        <v>29</v>
      </c>
      <c r="E32" s="9">
        <v>5</v>
      </c>
      <c r="F32" s="10">
        <v>60000</v>
      </c>
      <c r="G32" s="8" t="s">
        <v>11</v>
      </c>
      <c r="H32" s="8" t="s">
        <v>12</v>
      </c>
    </row>
    <row r="33" spans="1:8">
      <c r="A33" s="28" t="s">
        <v>10</v>
      </c>
      <c r="B33" s="28" t="s">
        <v>77</v>
      </c>
      <c r="C33" s="35" t="s">
        <v>20</v>
      </c>
      <c r="D33" s="34" t="s">
        <v>42</v>
      </c>
      <c r="E33" s="9">
        <v>12</v>
      </c>
      <c r="F33" s="10">
        <v>51600</v>
      </c>
      <c r="G33" s="8" t="s">
        <v>11</v>
      </c>
      <c r="H33" s="8" t="s">
        <v>12</v>
      </c>
    </row>
    <row r="34" spans="1:8">
      <c r="A34" s="28" t="s">
        <v>10</v>
      </c>
      <c r="B34" s="28" t="s">
        <v>78</v>
      </c>
      <c r="C34" s="35" t="s">
        <v>18</v>
      </c>
      <c r="D34" s="34" t="s">
        <v>29</v>
      </c>
      <c r="E34" s="9">
        <v>3</v>
      </c>
      <c r="F34" s="10">
        <v>27000</v>
      </c>
      <c r="G34" s="8" t="s">
        <v>11</v>
      </c>
      <c r="H34" s="8" t="s">
        <v>12</v>
      </c>
    </row>
    <row r="35" spans="1:8">
      <c r="A35" s="28" t="s">
        <v>10</v>
      </c>
      <c r="B35" s="28" t="s">
        <v>79</v>
      </c>
      <c r="C35" s="35" t="s">
        <v>80</v>
      </c>
      <c r="D35" s="34" t="s">
        <v>33</v>
      </c>
      <c r="E35" s="9">
        <v>20</v>
      </c>
      <c r="F35" s="10">
        <v>82300</v>
      </c>
      <c r="G35" s="8" t="s">
        <v>11</v>
      </c>
      <c r="H35" s="8" t="s">
        <v>12</v>
      </c>
    </row>
    <row r="36" spans="1:8">
      <c r="A36" s="28" t="s">
        <v>10</v>
      </c>
      <c r="B36" s="28" t="s">
        <v>81</v>
      </c>
      <c r="C36" s="35" t="s">
        <v>17</v>
      </c>
      <c r="D36" s="34" t="s">
        <v>29</v>
      </c>
      <c r="E36" s="9">
        <v>5</v>
      </c>
      <c r="F36" s="10">
        <v>47000</v>
      </c>
      <c r="G36" s="8" t="s">
        <v>11</v>
      </c>
      <c r="H36" s="8" t="s">
        <v>12</v>
      </c>
    </row>
    <row r="37" spans="1:8">
      <c r="A37" s="28" t="s">
        <v>10</v>
      </c>
      <c r="B37" s="28" t="s">
        <v>82</v>
      </c>
      <c r="C37" s="35" t="s">
        <v>83</v>
      </c>
      <c r="D37" s="34" t="s">
        <v>16</v>
      </c>
      <c r="E37" s="9">
        <v>12</v>
      </c>
      <c r="F37" s="10">
        <v>57200</v>
      </c>
      <c r="G37" s="8" t="s">
        <v>11</v>
      </c>
      <c r="H37" s="8" t="s">
        <v>12</v>
      </c>
    </row>
    <row r="38" spans="1:8">
      <c r="A38" s="28" t="s">
        <v>10</v>
      </c>
      <c r="B38" s="28" t="s">
        <v>84</v>
      </c>
      <c r="C38" s="35" t="s">
        <v>85</v>
      </c>
      <c r="D38" s="34" t="s">
        <v>29</v>
      </c>
      <c r="E38" s="9">
        <v>20</v>
      </c>
      <c r="F38" s="10">
        <v>355000</v>
      </c>
      <c r="G38" s="8" t="s">
        <v>11</v>
      </c>
      <c r="H38" s="8" t="s">
        <v>12</v>
      </c>
    </row>
    <row r="39" spans="1:8">
      <c r="A39" s="28" t="s">
        <v>10</v>
      </c>
      <c r="B39" s="28" t="s">
        <v>86</v>
      </c>
      <c r="C39" s="35" t="s">
        <v>87</v>
      </c>
      <c r="D39" s="34" t="s">
        <v>42</v>
      </c>
      <c r="E39" s="9">
        <v>10</v>
      </c>
      <c r="F39" s="10">
        <v>24000</v>
      </c>
      <c r="G39" s="8" t="s">
        <v>11</v>
      </c>
      <c r="H39" s="8" t="s">
        <v>12</v>
      </c>
    </row>
    <row r="40" spans="1:8">
      <c r="F40" s="33"/>
    </row>
    <row r="41" spans="1:8">
      <c r="F41" s="38"/>
    </row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S16"/>
  <sheetViews>
    <sheetView view="pageBreakPreview" zoomScaleNormal="100" zoomScaleSheetLayoutView="100" workbookViewId="0">
      <selection activeCell="D25" sqref="D25"/>
    </sheetView>
  </sheetViews>
  <sheetFormatPr defaultRowHeight="16.5"/>
  <cols>
    <col min="1" max="1" width="12.125" style="3" bestFit="1" customWidth="1"/>
    <col min="2" max="2" width="20.75" style="3" customWidth="1"/>
    <col min="3" max="3" width="22.875" style="1" bestFit="1" customWidth="1"/>
    <col min="4" max="4" width="28.125" style="1" customWidth="1"/>
    <col min="5" max="5" width="14.625" style="2" customWidth="1"/>
    <col min="6" max="6" width="12.125" style="1" customWidth="1"/>
    <col min="7" max="7" width="10.375" style="1" customWidth="1"/>
    <col min="8" max="8" width="10.875" style="1" customWidth="1"/>
    <col min="9" max="19" width="9" style="5"/>
    <col min="20" max="16384" width="9" style="4"/>
  </cols>
  <sheetData>
    <row r="1" spans="1:8" ht="26.25">
      <c r="A1" s="75" t="s">
        <v>123</v>
      </c>
      <c r="B1" s="75"/>
      <c r="C1" s="75"/>
      <c r="D1" s="75"/>
      <c r="E1" s="75"/>
      <c r="F1" s="75"/>
      <c r="G1" s="75"/>
      <c r="H1" s="75"/>
    </row>
    <row r="2" spans="1:8" ht="17.25" thickBot="1">
      <c r="A2" s="16" t="s">
        <v>0</v>
      </c>
      <c r="B2" s="16" t="s">
        <v>6</v>
      </c>
      <c r="C2" s="15" t="s">
        <v>7</v>
      </c>
      <c r="D2" s="15" t="s">
        <v>1</v>
      </c>
      <c r="E2" s="18" t="s">
        <v>4</v>
      </c>
      <c r="F2" s="15" t="s">
        <v>5</v>
      </c>
      <c r="G2" s="15" t="s">
        <v>2</v>
      </c>
      <c r="H2" s="15" t="s">
        <v>3</v>
      </c>
    </row>
    <row r="3" spans="1:8" s="5" customFormat="1" ht="17.25" thickTop="1">
      <c r="A3" s="6"/>
      <c r="B3" s="6"/>
      <c r="C3" s="7"/>
      <c r="D3" s="51" t="s">
        <v>198</v>
      </c>
      <c r="E3" s="52">
        <f>SUM(E4:E14)</f>
        <v>67</v>
      </c>
      <c r="F3" s="53">
        <f>SUM(F4:F14)</f>
        <v>1383000</v>
      </c>
      <c r="G3" s="54" t="s">
        <v>194</v>
      </c>
      <c r="H3" s="7"/>
    </row>
    <row r="4" spans="1:8" s="5" customFormat="1">
      <c r="A4" s="6" t="s">
        <v>101</v>
      </c>
      <c r="B4" s="6" t="s">
        <v>102</v>
      </c>
      <c r="C4" s="7" t="s">
        <v>103</v>
      </c>
      <c r="D4" s="8" t="s">
        <v>104</v>
      </c>
      <c r="E4" s="32">
        <v>4</v>
      </c>
      <c r="F4" s="30">
        <v>88000</v>
      </c>
      <c r="G4" s="7" t="s">
        <v>11</v>
      </c>
      <c r="H4" s="7" t="s">
        <v>12</v>
      </c>
    </row>
    <row r="5" spans="1:8" s="5" customFormat="1">
      <c r="A5" s="6" t="s">
        <v>101</v>
      </c>
      <c r="B5" s="6" t="s">
        <v>105</v>
      </c>
      <c r="C5" s="7" t="s">
        <v>106</v>
      </c>
      <c r="D5" s="8" t="s">
        <v>104</v>
      </c>
      <c r="E5" s="32">
        <v>7</v>
      </c>
      <c r="F5" s="30">
        <v>184000</v>
      </c>
      <c r="G5" s="7" t="s">
        <v>11</v>
      </c>
      <c r="H5" s="7" t="s">
        <v>12</v>
      </c>
    </row>
    <row r="6" spans="1:8">
      <c r="A6" s="6" t="s">
        <v>101</v>
      </c>
      <c r="B6" s="6" t="s">
        <v>107</v>
      </c>
      <c r="C6" s="7" t="s">
        <v>108</v>
      </c>
      <c r="D6" s="8" t="s">
        <v>104</v>
      </c>
      <c r="E6" s="32">
        <v>5</v>
      </c>
      <c r="F6" s="30">
        <v>105000</v>
      </c>
      <c r="G6" s="7" t="s">
        <v>11</v>
      </c>
      <c r="H6" s="7" t="s">
        <v>12</v>
      </c>
    </row>
    <row r="7" spans="1:8">
      <c r="A7" s="6" t="s">
        <v>101</v>
      </c>
      <c r="B7" s="6" t="s">
        <v>109</v>
      </c>
      <c r="C7" s="7" t="s">
        <v>110</v>
      </c>
      <c r="D7" s="8" t="s">
        <v>104</v>
      </c>
      <c r="E7" s="32">
        <v>10</v>
      </c>
      <c r="F7" s="30">
        <v>329000</v>
      </c>
      <c r="G7" s="7" t="s">
        <v>11</v>
      </c>
      <c r="H7" s="7" t="s">
        <v>12</v>
      </c>
    </row>
    <row r="8" spans="1:8">
      <c r="A8" s="6" t="s">
        <v>101</v>
      </c>
      <c r="B8" s="6" t="s">
        <v>111</v>
      </c>
      <c r="C8" s="7" t="s">
        <v>112</v>
      </c>
      <c r="D8" s="8" t="s">
        <v>104</v>
      </c>
      <c r="E8" s="32">
        <v>5</v>
      </c>
      <c r="F8" s="30">
        <v>105000</v>
      </c>
      <c r="G8" s="7" t="s">
        <v>11</v>
      </c>
      <c r="H8" s="7" t="s">
        <v>12</v>
      </c>
    </row>
    <row r="9" spans="1:8">
      <c r="A9" s="6" t="s">
        <v>101</v>
      </c>
      <c r="B9" s="6" t="s">
        <v>113</v>
      </c>
      <c r="C9" s="7" t="s">
        <v>114</v>
      </c>
      <c r="D9" s="8" t="s">
        <v>104</v>
      </c>
      <c r="E9" s="32">
        <v>5</v>
      </c>
      <c r="F9" s="30">
        <v>66000</v>
      </c>
      <c r="G9" s="7" t="s">
        <v>11</v>
      </c>
      <c r="H9" s="7" t="s">
        <v>12</v>
      </c>
    </row>
    <row r="10" spans="1:8" s="5" customFormat="1">
      <c r="A10" s="6" t="s">
        <v>101</v>
      </c>
      <c r="B10" s="6" t="s">
        <v>115</v>
      </c>
      <c r="C10" s="7" t="s">
        <v>108</v>
      </c>
      <c r="D10" s="8" t="s">
        <v>104</v>
      </c>
      <c r="E10" s="32">
        <v>9</v>
      </c>
      <c r="F10" s="30">
        <v>170000</v>
      </c>
      <c r="G10" s="7" t="s">
        <v>11</v>
      </c>
      <c r="H10" s="7" t="s">
        <v>12</v>
      </c>
    </row>
    <row r="11" spans="1:8" s="5" customFormat="1">
      <c r="A11" s="6" t="s">
        <v>101</v>
      </c>
      <c r="B11" s="6" t="s">
        <v>116</v>
      </c>
      <c r="C11" s="6" t="s">
        <v>117</v>
      </c>
      <c r="D11" s="8" t="s">
        <v>104</v>
      </c>
      <c r="E11" s="32">
        <v>3</v>
      </c>
      <c r="F11" s="30">
        <v>38000</v>
      </c>
      <c r="G11" s="7" t="s">
        <v>11</v>
      </c>
      <c r="H11" s="7" t="s">
        <v>12</v>
      </c>
    </row>
    <row r="12" spans="1:8" s="5" customFormat="1">
      <c r="A12" s="6" t="s">
        <v>101</v>
      </c>
      <c r="B12" s="6" t="s">
        <v>118</v>
      </c>
      <c r="C12" s="6" t="s">
        <v>119</v>
      </c>
      <c r="D12" s="8" t="s">
        <v>104</v>
      </c>
      <c r="E12" s="32">
        <v>5</v>
      </c>
      <c r="F12" s="30">
        <v>63000</v>
      </c>
      <c r="G12" s="7" t="s">
        <v>11</v>
      </c>
      <c r="H12" s="7" t="s">
        <v>12</v>
      </c>
    </row>
    <row r="13" spans="1:8" s="5" customFormat="1">
      <c r="A13" s="6" t="s">
        <v>101</v>
      </c>
      <c r="B13" s="6" t="s">
        <v>120</v>
      </c>
      <c r="C13" s="6" t="s">
        <v>121</v>
      </c>
      <c r="D13" s="8" t="s">
        <v>104</v>
      </c>
      <c r="E13" s="32">
        <v>5</v>
      </c>
      <c r="F13" s="30">
        <v>66000</v>
      </c>
      <c r="G13" s="7" t="s">
        <v>11</v>
      </c>
      <c r="H13" s="7" t="s">
        <v>12</v>
      </c>
    </row>
    <row r="14" spans="1:8">
      <c r="A14" s="6" t="s">
        <v>101</v>
      </c>
      <c r="B14" s="43" t="s">
        <v>122</v>
      </c>
      <c r="C14" s="7" t="s">
        <v>106</v>
      </c>
      <c r="D14" s="8" t="s">
        <v>104</v>
      </c>
      <c r="E14" s="32">
        <v>9</v>
      </c>
      <c r="F14" s="30">
        <v>169000</v>
      </c>
      <c r="G14" s="7" t="s">
        <v>11</v>
      </c>
      <c r="H14" s="7" t="s">
        <v>12</v>
      </c>
    </row>
    <row r="15" spans="1:8">
      <c r="E15" s="26"/>
      <c r="F15" s="27"/>
    </row>
    <row r="16" spans="1:8">
      <c r="F16" s="27"/>
    </row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"/>
  <sheetViews>
    <sheetView view="pageBreakPreview" zoomScaleNormal="100" zoomScaleSheetLayoutView="100" workbookViewId="0">
      <selection activeCell="N29" sqref="N29"/>
    </sheetView>
  </sheetViews>
  <sheetFormatPr defaultRowHeight="16.5"/>
  <cols>
    <col min="1" max="1" width="14.5" style="3" customWidth="1"/>
    <col min="2" max="2" width="18" style="3" customWidth="1"/>
    <col min="3" max="3" width="27.375" style="1" customWidth="1"/>
    <col min="4" max="4" width="34.5" style="1" customWidth="1"/>
    <col min="5" max="5" width="13.75" style="2" customWidth="1"/>
    <col min="6" max="6" width="12.125" style="1" customWidth="1"/>
    <col min="7" max="7" width="10.375" style="1" customWidth="1"/>
    <col min="8" max="8" width="10.875" style="1" customWidth="1"/>
    <col min="9" max="19" width="9" style="5"/>
    <col min="20" max="16384" width="9" style="4"/>
  </cols>
  <sheetData>
    <row r="1" spans="1:19" ht="26.25">
      <c r="A1" s="75" t="s">
        <v>124</v>
      </c>
      <c r="B1" s="75"/>
      <c r="C1" s="75"/>
      <c r="D1" s="75"/>
      <c r="E1" s="75"/>
      <c r="F1" s="75"/>
      <c r="G1" s="75"/>
      <c r="H1" s="75"/>
    </row>
    <row r="2" spans="1:19" ht="17.25" thickBot="1">
      <c r="A2" s="16" t="s">
        <v>0</v>
      </c>
      <c r="B2" s="16" t="s">
        <v>6</v>
      </c>
      <c r="C2" s="15" t="s">
        <v>7</v>
      </c>
      <c r="D2" s="15" t="s">
        <v>1</v>
      </c>
      <c r="E2" s="18" t="s">
        <v>4</v>
      </c>
      <c r="F2" s="15" t="s">
        <v>5</v>
      </c>
      <c r="G2" s="15" t="s">
        <v>2</v>
      </c>
      <c r="H2" s="15" t="s">
        <v>3</v>
      </c>
    </row>
    <row r="3" spans="1:19" ht="17.25" thickTop="1">
      <c r="A3" s="69"/>
      <c r="B3" s="67"/>
      <c r="C3" s="41"/>
      <c r="D3" s="54" t="s">
        <v>198</v>
      </c>
      <c r="E3" s="57">
        <f>SUM(E4:E8)</f>
        <v>51</v>
      </c>
      <c r="F3" s="58">
        <f>SUM(F4:F8)</f>
        <v>978000</v>
      </c>
      <c r="G3" s="59" t="s">
        <v>195</v>
      </c>
      <c r="H3" s="42"/>
    </row>
    <row r="4" spans="1:19">
      <c r="A4" s="70" t="s">
        <v>8</v>
      </c>
      <c r="B4" s="68" t="s">
        <v>88</v>
      </c>
      <c r="C4" s="60" t="s">
        <v>89</v>
      </c>
      <c r="D4" s="31" t="s">
        <v>90</v>
      </c>
      <c r="E4" s="61">
        <v>14</v>
      </c>
      <c r="F4" s="62">
        <v>312000</v>
      </c>
      <c r="G4" s="20" t="s">
        <v>11</v>
      </c>
      <c r="H4" s="20" t="s">
        <v>12</v>
      </c>
    </row>
    <row r="5" spans="1:19">
      <c r="A5" s="70" t="s">
        <v>8</v>
      </c>
      <c r="B5" s="68" t="s">
        <v>91</v>
      </c>
      <c r="C5" s="63" t="s">
        <v>92</v>
      </c>
      <c r="D5" s="31" t="s">
        <v>90</v>
      </c>
      <c r="E5" s="64">
        <v>12</v>
      </c>
      <c r="F5" s="65">
        <v>200000</v>
      </c>
      <c r="G5" s="20" t="s">
        <v>11</v>
      </c>
      <c r="H5" s="20" t="s">
        <v>12</v>
      </c>
    </row>
    <row r="6" spans="1:19" s="25" customFormat="1">
      <c r="A6" s="70" t="s">
        <v>8</v>
      </c>
      <c r="B6" s="68" t="s">
        <v>93</v>
      </c>
      <c r="C6" s="63" t="s">
        <v>94</v>
      </c>
      <c r="D6" s="31" t="s">
        <v>90</v>
      </c>
      <c r="E6" s="64">
        <v>15</v>
      </c>
      <c r="F6" s="65">
        <v>385000</v>
      </c>
      <c r="G6" s="20" t="s">
        <v>11</v>
      </c>
      <c r="H6" s="20" t="s">
        <v>12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spans="1:19">
      <c r="A7" s="70" t="s">
        <v>8</v>
      </c>
      <c r="B7" s="68" t="s">
        <v>95</v>
      </c>
      <c r="C7" s="63" t="s">
        <v>96</v>
      </c>
      <c r="D7" s="31" t="s">
        <v>97</v>
      </c>
      <c r="E7" s="64">
        <v>5</v>
      </c>
      <c r="F7" s="65">
        <v>58000</v>
      </c>
      <c r="G7" s="20" t="s">
        <v>11</v>
      </c>
      <c r="H7" s="20" t="s">
        <v>12</v>
      </c>
    </row>
    <row r="8" spans="1:19">
      <c r="A8" s="70" t="s">
        <v>8</v>
      </c>
      <c r="B8" s="68" t="s">
        <v>98</v>
      </c>
      <c r="C8" s="63" t="s">
        <v>99</v>
      </c>
      <c r="D8" s="66" t="s">
        <v>100</v>
      </c>
      <c r="E8" s="64">
        <v>5</v>
      </c>
      <c r="F8" s="65">
        <v>23000</v>
      </c>
      <c r="G8" s="20" t="s">
        <v>11</v>
      </c>
      <c r="H8" s="20" t="s">
        <v>12</v>
      </c>
    </row>
    <row r="19" spans="5:5">
      <c r="E19" s="26"/>
    </row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view="pageBreakPreview" zoomScaleNormal="100" zoomScaleSheetLayoutView="100" workbookViewId="0">
      <selection activeCell="D20" sqref="D20"/>
    </sheetView>
  </sheetViews>
  <sheetFormatPr defaultColWidth="9" defaultRowHeight="16.5"/>
  <cols>
    <col min="1" max="1" width="14.25" style="3" customWidth="1"/>
    <col min="2" max="2" width="24.25" style="3" customWidth="1"/>
    <col min="3" max="3" width="19.125" style="1" customWidth="1"/>
    <col min="4" max="4" width="39" style="1" customWidth="1"/>
    <col min="5" max="5" width="11.875" style="2" customWidth="1"/>
    <col min="6" max="6" width="10.75" style="1" customWidth="1"/>
    <col min="7" max="7" width="8.625" style="1" customWidth="1"/>
    <col min="8" max="8" width="9.5" style="1" customWidth="1"/>
    <col min="9" max="19" width="9" style="5"/>
    <col min="20" max="16384" width="9" style="4"/>
  </cols>
  <sheetData>
    <row r="1" spans="1:8" ht="26.25">
      <c r="A1" s="75" t="s">
        <v>126</v>
      </c>
      <c r="B1" s="75"/>
      <c r="C1" s="75"/>
      <c r="D1" s="75"/>
      <c r="E1" s="75"/>
      <c r="F1" s="75"/>
      <c r="G1" s="75"/>
      <c r="H1" s="75"/>
    </row>
    <row r="2" spans="1:8" s="5" customFormat="1" ht="17.25" thickBot="1">
      <c r="A2" s="16" t="s">
        <v>0</v>
      </c>
      <c r="B2" s="16" t="s">
        <v>6</v>
      </c>
      <c r="C2" s="15" t="s">
        <v>7</v>
      </c>
      <c r="D2" s="15" t="s">
        <v>1</v>
      </c>
      <c r="E2" s="18" t="s">
        <v>4</v>
      </c>
      <c r="F2" s="21" t="s">
        <v>5</v>
      </c>
      <c r="G2" s="15" t="s">
        <v>2</v>
      </c>
      <c r="H2" s="15" t="s">
        <v>3</v>
      </c>
    </row>
    <row r="3" spans="1:8" ht="17.25" thickTop="1">
      <c r="A3" s="43"/>
      <c r="B3" s="44"/>
      <c r="C3" s="8"/>
      <c r="D3" s="72" t="s">
        <v>198</v>
      </c>
      <c r="E3" s="51">
        <f>SUM(E4:E11)</f>
        <v>76</v>
      </c>
      <c r="F3" s="71">
        <f>SUM(F4:F11)</f>
        <v>1650400</v>
      </c>
      <c r="G3" s="72" t="s">
        <v>196</v>
      </c>
      <c r="H3" s="43"/>
    </row>
    <row r="4" spans="1:8">
      <c r="A4" s="43" t="s">
        <v>197</v>
      </c>
      <c r="B4" s="44">
        <v>45904.872916666667</v>
      </c>
      <c r="C4" s="8" t="s">
        <v>130</v>
      </c>
      <c r="D4" s="43" t="s">
        <v>131</v>
      </c>
      <c r="E4" s="8">
        <v>10</v>
      </c>
      <c r="F4" s="45">
        <v>300000</v>
      </c>
      <c r="G4" s="43" t="s">
        <v>11</v>
      </c>
      <c r="H4" s="43" t="s">
        <v>12</v>
      </c>
    </row>
    <row r="5" spans="1:8">
      <c r="A5" s="43" t="s">
        <v>197</v>
      </c>
      <c r="B5" s="44">
        <v>45909.512499999997</v>
      </c>
      <c r="C5" s="8" t="s">
        <v>132</v>
      </c>
      <c r="D5" s="43" t="s">
        <v>131</v>
      </c>
      <c r="E5" s="8">
        <v>11</v>
      </c>
      <c r="F5" s="45">
        <v>264000</v>
      </c>
      <c r="G5" s="43" t="s">
        <v>11</v>
      </c>
      <c r="H5" s="43" t="s">
        <v>12</v>
      </c>
    </row>
    <row r="6" spans="1:8">
      <c r="A6" s="43" t="s">
        <v>197</v>
      </c>
      <c r="B6" s="44">
        <v>45909.518750000003</v>
      </c>
      <c r="C6" s="8" t="s">
        <v>133</v>
      </c>
      <c r="D6" s="43" t="s">
        <v>134</v>
      </c>
      <c r="E6" s="8">
        <v>11</v>
      </c>
      <c r="F6" s="45">
        <v>44000</v>
      </c>
      <c r="G6" s="43" t="s">
        <v>11</v>
      </c>
      <c r="H6" s="43" t="s">
        <v>12</v>
      </c>
    </row>
    <row r="7" spans="1:8">
      <c r="A7" s="43" t="s">
        <v>197</v>
      </c>
      <c r="B7" s="44">
        <v>45911.833333333336</v>
      </c>
      <c r="C7" s="8" t="s">
        <v>135</v>
      </c>
      <c r="D7" s="43" t="s">
        <v>131</v>
      </c>
      <c r="E7" s="8">
        <v>16</v>
      </c>
      <c r="F7" s="45">
        <v>400000</v>
      </c>
      <c r="G7" s="43" t="s">
        <v>11</v>
      </c>
      <c r="H7" s="43" t="s">
        <v>12</v>
      </c>
    </row>
    <row r="8" spans="1:8">
      <c r="A8" s="43" t="s">
        <v>197</v>
      </c>
      <c r="B8" s="44">
        <v>45917.416666666664</v>
      </c>
      <c r="C8" s="8" t="s">
        <v>136</v>
      </c>
      <c r="D8" s="43" t="s">
        <v>137</v>
      </c>
      <c r="E8" s="8">
        <v>1</v>
      </c>
      <c r="F8" s="45">
        <v>40000</v>
      </c>
      <c r="G8" s="43" t="s">
        <v>11</v>
      </c>
      <c r="H8" s="43" t="s">
        <v>12</v>
      </c>
    </row>
    <row r="9" spans="1:8">
      <c r="A9" s="43" t="s">
        <v>197</v>
      </c>
      <c r="B9" s="44">
        <v>45918.501388888886</v>
      </c>
      <c r="C9" s="8" t="s">
        <v>138</v>
      </c>
      <c r="D9" s="43" t="s">
        <v>139</v>
      </c>
      <c r="E9" s="8">
        <v>6</v>
      </c>
      <c r="F9" s="45">
        <v>66000</v>
      </c>
      <c r="G9" s="43" t="s">
        <v>11</v>
      </c>
      <c r="H9" s="43" t="s">
        <v>12</v>
      </c>
    </row>
    <row r="10" spans="1:8">
      <c r="A10" s="43" t="s">
        <v>197</v>
      </c>
      <c r="B10" s="44">
        <v>45918.504166666666</v>
      </c>
      <c r="C10" s="8" t="s">
        <v>140</v>
      </c>
      <c r="D10" s="43" t="s">
        <v>141</v>
      </c>
      <c r="E10" s="8">
        <v>6</v>
      </c>
      <c r="F10" s="45">
        <v>37400</v>
      </c>
      <c r="G10" s="43" t="s">
        <v>11</v>
      </c>
      <c r="H10" s="43" t="s">
        <v>12</v>
      </c>
    </row>
    <row r="11" spans="1:8">
      <c r="A11" s="43" t="s">
        <v>197</v>
      </c>
      <c r="B11" s="44">
        <v>45930.447916666664</v>
      </c>
      <c r="C11" s="8" t="s">
        <v>142</v>
      </c>
      <c r="D11" s="43" t="s">
        <v>143</v>
      </c>
      <c r="E11" s="8">
        <v>15</v>
      </c>
      <c r="F11" s="45">
        <v>499000</v>
      </c>
      <c r="G11" s="43" t="s">
        <v>11</v>
      </c>
      <c r="H11" s="43" t="s">
        <v>12</v>
      </c>
    </row>
    <row r="12" spans="1:8">
      <c r="E12" s="26"/>
      <c r="F12" s="29"/>
    </row>
    <row r="13" spans="1:8">
      <c r="F13" s="29"/>
    </row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view="pageBreakPreview" zoomScaleNormal="100" zoomScaleSheetLayoutView="100" workbookViewId="0">
      <selection activeCell="F22" sqref="F22"/>
    </sheetView>
  </sheetViews>
  <sheetFormatPr defaultRowHeight="16.5"/>
  <cols>
    <col min="1" max="1" width="16" style="3" customWidth="1"/>
    <col min="2" max="2" width="20.75" style="3" customWidth="1"/>
    <col min="3" max="3" width="18" style="1" customWidth="1"/>
    <col min="4" max="4" width="33.25" style="1" customWidth="1"/>
    <col min="5" max="5" width="12.875" style="2" customWidth="1"/>
    <col min="6" max="6" width="12.125" style="1" customWidth="1"/>
    <col min="7" max="7" width="10.375" style="1" customWidth="1"/>
    <col min="8" max="8" width="10.875" style="1" customWidth="1"/>
    <col min="9" max="19" width="9" style="5"/>
    <col min="20" max="16384" width="9" style="4"/>
  </cols>
  <sheetData>
    <row r="1" spans="1:8" ht="26.25">
      <c r="A1" s="75" t="s">
        <v>125</v>
      </c>
      <c r="B1" s="75"/>
      <c r="C1" s="75"/>
      <c r="D1" s="75"/>
      <c r="E1" s="75"/>
      <c r="F1" s="75"/>
      <c r="G1" s="75"/>
      <c r="H1" s="75"/>
    </row>
    <row r="2" spans="1:8" s="5" customFormat="1" ht="17.25" thickBot="1">
      <c r="A2" s="16" t="s">
        <v>0</v>
      </c>
      <c r="B2" s="16" t="s">
        <v>6</v>
      </c>
      <c r="C2" s="15" t="s">
        <v>7</v>
      </c>
      <c r="D2" s="15" t="s">
        <v>1</v>
      </c>
      <c r="E2" s="18" t="s">
        <v>4</v>
      </c>
      <c r="F2" s="21" t="s">
        <v>5</v>
      </c>
      <c r="G2" s="15" t="s">
        <v>2</v>
      </c>
      <c r="H2" s="15" t="s">
        <v>3</v>
      </c>
    </row>
    <row r="3" spans="1:8" ht="17.25" thickTop="1">
      <c r="A3" s="76"/>
      <c r="B3" s="77"/>
      <c r="C3" s="78"/>
      <c r="D3" s="97" t="s">
        <v>220</v>
      </c>
      <c r="E3" s="97">
        <v>28</v>
      </c>
      <c r="F3" s="98">
        <v>289500</v>
      </c>
      <c r="G3" s="51" t="s">
        <v>221</v>
      </c>
      <c r="H3" s="8"/>
    </row>
    <row r="4" spans="1:8">
      <c r="A4" s="76" t="s">
        <v>201</v>
      </c>
      <c r="B4" s="77" t="s">
        <v>202</v>
      </c>
      <c r="C4" s="78" t="s">
        <v>203</v>
      </c>
      <c r="D4" s="78" t="s">
        <v>204</v>
      </c>
      <c r="E4" s="78">
        <v>5</v>
      </c>
      <c r="F4" s="79">
        <v>24500</v>
      </c>
      <c r="G4" s="8" t="s">
        <v>148</v>
      </c>
      <c r="H4" s="8" t="s">
        <v>149</v>
      </c>
    </row>
    <row r="5" spans="1:8">
      <c r="A5" s="76" t="s">
        <v>201</v>
      </c>
      <c r="B5" s="77" t="s">
        <v>205</v>
      </c>
      <c r="C5" s="78" t="s">
        <v>66</v>
      </c>
      <c r="D5" s="78" t="s">
        <v>206</v>
      </c>
      <c r="E5" s="77">
        <v>12</v>
      </c>
      <c r="F5" s="80">
        <v>168000</v>
      </c>
      <c r="G5" s="8" t="s">
        <v>148</v>
      </c>
      <c r="H5" s="8" t="s">
        <v>149</v>
      </c>
    </row>
    <row r="6" spans="1:8">
      <c r="A6" s="76" t="s">
        <v>201</v>
      </c>
      <c r="B6" s="77" t="s">
        <v>207</v>
      </c>
      <c r="C6" s="78" t="s">
        <v>208</v>
      </c>
      <c r="D6" s="78" t="s">
        <v>206</v>
      </c>
      <c r="E6" s="77">
        <v>6</v>
      </c>
      <c r="F6" s="79">
        <v>57000</v>
      </c>
      <c r="G6" s="8" t="s">
        <v>148</v>
      </c>
      <c r="H6" s="8" t="s">
        <v>149</v>
      </c>
    </row>
    <row r="7" spans="1:8">
      <c r="A7" s="76" t="s">
        <v>201</v>
      </c>
      <c r="B7" s="77" t="s">
        <v>209</v>
      </c>
      <c r="C7" s="78" t="s">
        <v>203</v>
      </c>
      <c r="D7" s="78" t="s">
        <v>204</v>
      </c>
      <c r="E7" s="77">
        <v>5</v>
      </c>
      <c r="F7" s="79">
        <v>40000</v>
      </c>
      <c r="G7" s="8" t="s">
        <v>148</v>
      </c>
      <c r="H7" s="8" t="s">
        <v>149</v>
      </c>
    </row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"/>
  <sheetViews>
    <sheetView view="pageBreakPreview" zoomScaleNormal="100" zoomScaleSheetLayoutView="100" workbookViewId="0">
      <selection activeCell="D34" sqref="D34"/>
    </sheetView>
  </sheetViews>
  <sheetFormatPr defaultColWidth="9" defaultRowHeight="16.5"/>
  <cols>
    <col min="1" max="1" width="14.25" style="3" customWidth="1"/>
    <col min="2" max="2" width="17.5" style="3" customWidth="1"/>
    <col min="3" max="3" width="26.5" style="1" bestFit="1" customWidth="1"/>
    <col min="4" max="4" width="39" style="1" customWidth="1"/>
    <col min="5" max="5" width="11.875" style="2" customWidth="1"/>
    <col min="6" max="6" width="10.75" style="1" customWidth="1"/>
    <col min="7" max="7" width="8.625" style="1" customWidth="1"/>
    <col min="8" max="8" width="9.5" style="1" customWidth="1"/>
    <col min="9" max="19" width="9" style="5"/>
    <col min="20" max="16384" width="9" style="4"/>
  </cols>
  <sheetData>
    <row r="1" spans="1:8" ht="26.25">
      <c r="A1" s="75" t="s">
        <v>127</v>
      </c>
      <c r="B1" s="75"/>
      <c r="C1" s="75"/>
      <c r="D1" s="75"/>
      <c r="E1" s="75"/>
      <c r="F1" s="75"/>
      <c r="G1" s="75"/>
      <c r="H1" s="75"/>
    </row>
    <row r="2" spans="1:8" ht="17.25" thickBot="1">
      <c r="A2" s="16" t="s">
        <v>0</v>
      </c>
      <c r="B2" s="16" t="s">
        <v>6</v>
      </c>
      <c r="C2" s="15" t="s">
        <v>7</v>
      </c>
      <c r="D2" s="15" t="s">
        <v>1</v>
      </c>
      <c r="E2" s="18" t="s">
        <v>4</v>
      </c>
      <c r="F2" s="21" t="s">
        <v>5</v>
      </c>
      <c r="G2" s="15" t="s">
        <v>2</v>
      </c>
      <c r="H2" s="15" t="s">
        <v>3</v>
      </c>
    </row>
    <row r="3" spans="1:8" ht="17.25" thickTop="1">
      <c r="A3" s="46"/>
      <c r="B3" s="46"/>
      <c r="C3" s="47"/>
      <c r="D3" s="47" t="s">
        <v>192</v>
      </c>
      <c r="E3" s="48">
        <f>SUM(E4:E15)</f>
        <v>79</v>
      </c>
      <c r="F3" s="49">
        <f>SUM(F4:F15)</f>
        <v>1390320</v>
      </c>
      <c r="G3" s="50">
        <f>COUNT(F4:F21)</f>
        <v>12</v>
      </c>
      <c r="H3" s="47"/>
    </row>
    <row r="4" spans="1:8">
      <c r="A4" s="43" t="s">
        <v>9</v>
      </c>
      <c r="B4" s="6" t="s">
        <v>168</v>
      </c>
      <c r="C4" s="19" t="s">
        <v>20</v>
      </c>
      <c r="D4" s="31" t="s">
        <v>169</v>
      </c>
      <c r="E4" s="32">
        <v>7</v>
      </c>
      <c r="F4" s="30">
        <v>33000</v>
      </c>
      <c r="G4" s="8" t="s">
        <v>148</v>
      </c>
      <c r="H4" s="8" t="s">
        <v>149</v>
      </c>
    </row>
    <row r="5" spans="1:8">
      <c r="A5" s="43" t="s">
        <v>9</v>
      </c>
      <c r="B5" s="6" t="s">
        <v>170</v>
      </c>
      <c r="C5" s="19" t="s">
        <v>20</v>
      </c>
      <c r="D5" s="31" t="s">
        <v>169</v>
      </c>
      <c r="E5" s="32">
        <v>8</v>
      </c>
      <c r="F5" s="30">
        <v>41600</v>
      </c>
      <c r="G5" s="8" t="s">
        <v>148</v>
      </c>
      <c r="H5" s="8" t="s">
        <v>149</v>
      </c>
    </row>
    <row r="6" spans="1:8">
      <c r="A6" s="43" t="s">
        <v>9</v>
      </c>
      <c r="B6" s="11" t="s">
        <v>171</v>
      </c>
      <c r="C6" s="19" t="s">
        <v>172</v>
      </c>
      <c r="D6" s="31" t="s">
        <v>173</v>
      </c>
      <c r="E6" s="9">
        <v>8</v>
      </c>
      <c r="F6" s="10">
        <v>200000</v>
      </c>
      <c r="G6" s="8" t="s">
        <v>148</v>
      </c>
      <c r="H6" s="8" t="s">
        <v>149</v>
      </c>
    </row>
    <row r="7" spans="1:8">
      <c r="A7" s="43" t="s">
        <v>9</v>
      </c>
      <c r="B7" s="11" t="s">
        <v>174</v>
      </c>
      <c r="C7" s="19" t="s">
        <v>175</v>
      </c>
      <c r="D7" s="31" t="s">
        <v>173</v>
      </c>
      <c r="E7" s="9">
        <v>5</v>
      </c>
      <c r="F7" s="10">
        <v>66000</v>
      </c>
      <c r="G7" s="8" t="s">
        <v>148</v>
      </c>
      <c r="H7" s="8" t="s">
        <v>149</v>
      </c>
    </row>
    <row r="8" spans="1:8">
      <c r="A8" s="43" t="s">
        <v>9</v>
      </c>
      <c r="B8" s="11" t="s">
        <v>176</v>
      </c>
      <c r="C8" s="19" t="s">
        <v>177</v>
      </c>
      <c r="D8" s="31" t="s">
        <v>169</v>
      </c>
      <c r="E8" s="9">
        <v>5</v>
      </c>
      <c r="F8" s="10">
        <v>19500</v>
      </c>
      <c r="G8" s="8" t="s">
        <v>148</v>
      </c>
      <c r="H8" s="8" t="s">
        <v>149</v>
      </c>
    </row>
    <row r="9" spans="1:8">
      <c r="A9" s="43" t="s">
        <v>9</v>
      </c>
      <c r="B9" s="11" t="s">
        <v>178</v>
      </c>
      <c r="C9" s="19" t="s">
        <v>94</v>
      </c>
      <c r="D9" s="31" t="s">
        <v>173</v>
      </c>
      <c r="E9" s="9">
        <v>8</v>
      </c>
      <c r="F9" s="10">
        <v>200000</v>
      </c>
      <c r="G9" s="8" t="s">
        <v>148</v>
      </c>
      <c r="H9" s="8" t="s">
        <v>149</v>
      </c>
    </row>
    <row r="10" spans="1:8">
      <c r="A10" s="43" t="s">
        <v>9</v>
      </c>
      <c r="B10" s="11" t="s">
        <v>179</v>
      </c>
      <c r="C10" s="19" t="s">
        <v>180</v>
      </c>
      <c r="D10" s="31" t="s">
        <v>173</v>
      </c>
      <c r="E10" s="9">
        <v>4</v>
      </c>
      <c r="F10" s="10">
        <v>86000</v>
      </c>
      <c r="G10" s="8" t="s">
        <v>148</v>
      </c>
      <c r="H10" s="8" t="s">
        <v>149</v>
      </c>
    </row>
    <row r="11" spans="1:8">
      <c r="A11" s="43" t="s">
        <v>9</v>
      </c>
      <c r="B11" s="11" t="s">
        <v>181</v>
      </c>
      <c r="C11" s="19" t="s">
        <v>182</v>
      </c>
      <c r="D11" s="31" t="s">
        <v>173</v>
      </c>
      <c r="E11" s="9">
        <v>5</v>
      </c>
      <c r="F11" s="10">
        <v>77000</v>
      </c>
      <c r="G11" s="8" t="s">
        <v>148</v>
      </c>
      <c r="H11" s="8" t="s">
        <v>149</v>
      </c>
    </row>
    <row r="12" spans="1:8">
      <c r="A12" s="43" t="s">
        <v>9</v>
      </c>
      <c r="B12" s="11" t="s">
        <v>183</v>
      </c>
      <c r="C12" s="19" t="s">
        <v>184</v>
      </c>
      <c r="D12" s="31" t="s">
        <v>169</v>
      </c>
      <c r="E12" s="9">
        <v>5</v>
      </c>
      <c r="F12" s="10">
        <v>18500</v>
      </c>
      <c r="G12" s="8" t="s">
        <v>148</v>
      </c>
      <c r="H12" s="8" t="s">
        <v>149</v>
      </c>
    </row>
    <row r="13" spans="1:8">
      <c r="A13" s="43" t="s">
        <v>9</v>
      </c>
      <c r="B13" s="6" t="s">
        <v>185</v>
      </c>
      <c r="C13" s="19" t="s">
        <v>186</v>
      </c>
      <c r="D13" s="31" t="s">
        <v>187</v>
      </c>
      <c r="E13" s="9">
        <v>13</v>
      </c>
      <c r="F13" s="10">
        <v>584220</v>
      </c>
      <c r="G13" s="8" t="s">
        <v>148</v>
      </c>
      <c r="H13" s="8" t="s">
        <v>149</v>
      </c>
    </row>
    <row r="14" spans="1:8">
      <c r="A14" s="43" t="s">
        <v>9</v>
      </c>
      <c r="B14" s="6" t="s">
        <v>188</v>
      </c>
      <c r="C14" s="19" t="s">
        <v>189</v>
      </c>
      <c r="D14" s="31" t="s">
        <v>169</v>
      </c>
      <c r="E14" s="9">
        <v>8</v>
      </c>
      <c r="F14" s="10">
        <v>54000</v>
      </c>
      <c r="G14" s="8" t="s">
        <v>148</v>
      </c>
      <c r="H14" s="8" t="s">
        <v>149</v>
      </c>
    </row>
    <row r="15" spans="1:8">
      <c r="A15" s="43" t="s">
        <v>9</v>
      </c>
      <c r="B15" s="6" t="s">
        <v>190</v>
      </c>
      <c r="C15" s="19" t="s">
        <v>191</v>
      </c>
      <c r="D15" s="31" t="s">
        <v>169</v>
      </c>
      <c r="E15" s="9">
        <v>3</v>
      </c>
      <c r="F15" s="10">
        <v>10500</v>
      </c>
      <c r="G15" s="8" t="s">
        <v>148</v>
      </c>
      <c r="H15" s="8" t="s">
        <v>149</v>
      </c>
    </row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"/>
  <sheetViews>
    <sheetView view="pageBreakPreview" zoomScaleNormal="85" zoomScaleSheetLayoutView="100" workbookViewId="0">
      <selection activeCell="H21" sqref="H21"/>
    </sheetView>
  </sheetViews>
  <sheetFormatPr defaultRowHeight="16.5"/>
  <cols>
    <col min="1" max="1" width="18.375" style="3" customWidth="1"/>
    <col min="2" max="2" width="20.75" style="3" customWidth="1"/>
    <col min="3" max="3" width="22.125" style="1" customWidth="1"/>
    <col min="4" max="4" width="27.375" style="1" customWidth="1"/>
    <col min="5" max="5" width="13.75" style="2" customWidth="1"/>
    <col min="6" max="6" width="12.125" style="1" customWidth="1"/>
    <col min="7" max="7" width="10.375" style="1" customWidth="1"/>
    <col min="8" max="8" width="10.875" style="1" customWidth="1"/>
    <col min="9" max="19" width="9" style="5"/>
    <col min="20" max="16384" width="9" style="4"/>
  </cols>
  <sheetData>
    <row r="1" spans="1:8" ht="26.25">
      <c r="A1" s="75" t="s">
        <v>128</v>
      </c>
      <c r="B1" s="75"/>
      <c r="C1" s="75"/>
      <c r="D1" s="75"/>
      <c r="E1" s="75"/>
      <c r="F1" s="75"/>
      <c r="G1" s="75"/>
      <c r="H1" s="75"/>
    </row>
    <row r="2" spans="1:8" ht="17.25" thickBot="1">
      <c r="A2" s="16" t="s">
        <v>0</v>
      </c>
      <c r="B2" s="16" t="s">
        <v>6</v>
      </c>
      <c r="C2" s="15" t="s">
        <v>7</v>
      </c>
      <c r="D2" s="15" t="s">
        <v>1</v>
      </c>
      <c r="E2" s="18" t="s">
        <v>4</v>
      </c>
      <c r="F2" s="15" t="s">
        <v>5</v>
      </c>
      <c r="G2" s="15" t="s">
        <v>2</v>
      </c>
      <c r="H2" s="15" t="s">
        <v>3</v>
      </c>
    </row>
    <row r="3" spans="1:8" ht="17.25" thickTop="1">
      <c r="A3" s="28"/>
      <c r="B3" s="28"/>
      <c r="C3" s="19"/>
      <c r="D3" s="51" t="s">
        <v>198</v>
      </c>
      <c r="E3" s="55">
        <f>SUM(E4:E12)</f>
        <v>60</v>
      </c>
      <c r="F3" s="40">
        <f>SUM(F4:F12)</f>
        <v>1148500</v>
      </c>
      <c r="G3" s="51" t="s">
        <v>199</v>
      </c>
      <c r="H3" s="51"/>
    </row>
    <row r="4" spans="1:8">
      <c r="A4" s="28" t="s">
        <v>144</v>
      </c>
      <c r="B4" s="28" t="s">
        <v>145</v>
      </c>
      <c r="C4" s="19" t="s">
        <v>146</v>
      </c>
      <c r="D4" s="19" t="s">
        <v>147</v>
      </c>
      <c r="E4" s="9">
        <v>15</v>
      </c>
      <c r="F4" s="10">
        <v>58400</v>
      </c>
      <c r="G4" s="8" t="s">
        <v>148</v>
      </c>
      <c r="H4" s="8" t="s">
        <v>149</v>
      </c>
    </row>
    <row r="5" spans="1:8">
      <c r="A5" s="28" t="s">
        <v>144</v>
      </c>
      <c r="B5" s="28" t="s">
        <v>150</v>
      </c>
      <c r="C5" s="19" t="s">
        <v>151</v>
      </c>
      <c r="D5" s="19" t="s">
        <v>152</v>
      </c>
      <c r="E5" s="9">
        <v>6</v>
      </c>
      <c r="F5" s="10">
        <v>150000</v>
      </c>
      <c r="G5" s="8" t="s">
        <v>148</v>
      </c>
      <c r="H5" s="8" t="s">
        <v>149</v>
      </c>
    </row>
    <row r="6" spans="1:8">
      <c r="A6" s="28" t="s">
        <v>144</v>
      </c>
      <c r="B6" s="28" t="s">
        <v>153</v>
      </c>
      <c r="C6" s="19" t="s">
        <v>154</v>
      </c>
      <c r="D6" s="19" t="s">
        <v>152</v>
      </c>
      <c r="E6" s="9">
        <v>5</v>
      </c>
      <c r="F6" s="10">
        <v>97600</v>
      </c>
      <c r="G6" s="8" t="s">
        <v>148</v>
      </c>
      <c r="H6" s="8" t="s">
        <v>149</v>
      </c>
    </row>
    <row r="7" spans="1:8">
      <c r="A7" s="28" t="s">
        <v>144</v>
      </c>
      <c r="B7" s="28" t="s">
        <v>155</v>
      </c>
      <c r="C7" s="19" t="s">
        <v>156</v>
      </c>
      <c r="D7" s="19" t="s">
        <v>152</v>
      </c>
      <c r="E7" s="9">
        <v>4</v>
      </c>
      <c r="F7" s="10">
        <v>109000</v>
      </c>
      <c r="G7" s="8" t="s">
        <v>148</v>
      </c>
      <c r="H7" s="8" t="s">
        <v>149</v>
      </c>
    </row>
    <row r="8" spans="1:8">
      <c r="A8" s="28" t="s">
        <v>144</v>
      </c>
      <c r="B8" s="28" t="s">
        <v>157</v>
      </c>
      <c r="C8" s="19" t="s">
        <v>158</v>
      </c>
      <c r="D8" s="19" t="s">
        <v>152</v>
      </c>
      <c r="E8" s="9">
        <v>4</v>
      </c>
      <c r="F8" s="10">
        <v>99000</v>
      </c>
      <c r="G8" s="8" t="s">
        <v>148</v>
      </c>
      <c r="H8" s="8" t="s">
        <v>149</v>
      </c>
    </row>
    <row r="9" spans="1:8">
      <c r="A9" s="28" t="s">
        <v>144</v>
      </c>
      <c r="B9" s="28" t="s">
        <v>159</v>
      </c>
      <c r="C9" s="19" t="s">
        <v>160</v>
      </c>
      <c r="D9" s="19" t="s">
        <v>152</v>
      </c>
      <c r="E9" s="9">
        <v>5</v>
      </c>
      <c r="F9" s="10">
        <v>147500</v>
      </c>
      <c r="G9" s="8" t="s">
        <v>148</v>
      </c>
      <c r="H9" s="8" t="s">
        <v>149</v>
      </c>
    </row>
    <row r="10" spans="1:8">
      <c r="A10" s="28" t="s">
        <v>144</v>
      </c>
      <c r="B10" s="28" t="s">
        <v>161</v>
      </c>
      <c r="C10" s="19" t="s">
        <v>162</v>
      </c>
      <c r="D10" s="19" t="s">
        <v>163</v>
      </c>
      <c r="E10" s="9">
        <v>3</v>
      </c>
      <c r="F10" s="10">
        <v>36000</v>
      </c>
      <c r="G10" s="8" t="s">
        <v>148</v>
      </c>
      <c r="H10" s="8" t="s">
        <v>149</v>
      </c>
    </row>
    <row r="11" spans="1:8">
      <c r="A11" s="28" t="s">
        <v>144</v>
      </c>
      <c r="B11" s="28" t="s">
        <v>164</v>
      </c>
      <c r="C11" s="19" t="s">
        <v>165</v>
      </c>
      <c r="D11" s="19" t="s">
        <v>152</v>
      </c>
      <c r="E11" s="9">
        <v>8</v>
      </c>
      <c r="F11" s="10">
        <v>151000</v>
      </c>
      <c r="G11" s="8" t="s">
        <v>148</v>
      </c>
      <c r="H11" s="8" t="s">
        <v>149</v>
      </c>
    </row>
    <row r="12" spans="1:8">
      <c r="A12" s="28" t="s">
        <v>144</v>
      </c>
      <c r="B12" s="28" t="s">
        <v>166</v>
      </c>
      <c r="C12" s="19" t="s">
        <v>167</v>
      </c>
      <c r="D12" s="19" t="s">
        <v>152</v>
      </c>
      <c r="E12" s="9">
        <v>10</v>
      </c>
      <c r="F12" s="10">
        <v>300000</v>
      </c>
      <c r="G12" s="8" t="s">
        <v>148</v>
      </c>
      <c r="H12" s="8" t="s">
        <v>149</v>
      </c>
    </row>
    <row r="13" spans="1:8">
      <c r="E13" s="26"/>
      <c r="F13" s="29"/>
    </row>
    <row r="14" spans="1:8">
      <c r="F14" s="29"/>
    </row>
    <row r="15" spans="1:8">
      <c r="F15" s="29"/>
    </row>
    <row r="16" spans="1:8">
      <c r="F16" s="29"/>
    </row>
    <row r="17" spans="6:6">
      <c r="F17" s="29"/>
    </row>
    <row r="18" spans="6:6">
      <c r="F18" s="29"/>
    </row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view="pageBreakPreview" zoomScaleNormal="100" zoomScaleSheetLayoutView="100" workbookViewId="0">
      <selection activeCell="E16" sqref="E16"/>
    </sheetView>
  </sheetViews>
  <sheetFormatPr defaultRowHeight="16.5"/>
  <cols>
    <col min="1" max="1" width="13.125" style="3" bestFit="1" customWidth="1"/>
    <col min="2" max="2" width="20.75" style="23" customWidth="1"/>
    <col min="3" max="3" width="22.375" style="1" customWidth="1"/>
    <col min="4" max="4" width="34" style="1" customWidth="1"/>
    <col min="5" max="5" width="14.625" style="2" customWidth="1"/>
    <col min="6" max="6" width="12.125" style="1" customWidth="1"/>
    <col min="7" max="7" width="10.375" style="1" customWidth="1"/>
    <col min="8" max="8" width="10.875" style="1" customWidth="1"/>
    <col min="9" max="19" width="9" style="5"/>
    <col min="20" max="16384" width="9" style="4"/>
  </cols>
  <sheetData>
    <row r="1" spans="1:19" ht="26.25">
      <c r="A1" s="75" t="s">
        <v>129</v>
      </c>
      <c r="B1" s="75"/>
      <c r="C1" s="75"/>
      <c r="D1" s="75"/>
      <c r="E1" s="75"/>
      <c r="F1" s="75"/>
      <c r="G1" s="75"/>
      <c r="H1" s="75"/>
    </row>
    <row r="2" spans="1:19" s="13" customFormat="1" ht="17.25" thickBot="1">
      <c r="A2" s="16" t="s">
        <v>0</v>
      </c>
      <c r="B2" s="22" t="s">
        <v>6</v>
      </c>
      <c r="C2" s="15" t="s">
        <v>7</v>
      </c>
      <c r="D2" s="15" t="s">
        <v>1</v>
      </c>
      <c r="E2" s="18" t="s">
        <v>4</v>
      </c>
      <c r="F2" s="15" t="s">
        <v>5</v>
      </c>
      <c r="G2" s="15" t="s">
        <v>2</v>
      </c>
      <c r="H2" s="15" t="s">
        <v>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7.25" thickTop="1">
      <c r="A3" s="81"/>
      <c r="B3" s="82"/>
      <c r="C3" s="47"/>
      <c r="D3" s="47" t="s">
        <v>192</v>
      </c>
      <c r="E3" s="48">
        <f>SUM(E4:E7)</f>
        <v>34</v>
      </c>
      <c r="F3" s="83">
        <f>SUM(F4:F7)</f>
        <v>1106000</v>
      </c>
      <c r="G3" s="50">
        <f>COUNT(F4:F7)</f>
        <v>4</v>
      </c>
      <c r="H3" s="84"/>
    </row>
    <row r="4" spans="1:19">
      <c r="A4" s="85" t="s">
        <v>200</v>
      </c>
      <c r="B4" s="86" t="s">
        <v>210</v>
      </c>
      <c r="C4" s="8" t="s">
        <v>211</v>
      </c>
      <c r="D4" s="87" t="s">
        <v>212</v>
      </c>
      <c r="E4" s="9">
        <v>7</v>
      </c>
      <c r="F4" s="45">
        <v>217000</v>
      </c>
      <c r="G4" s="7" t="s">
        <v>11</v>
      </c>
      <c r="H4" s="88" t="s">
        <v>12</v>
      </c>
    </row>
    <row r="5" spans="1:19">
      <c r="A5" s="85" t="s">
        <v>200</v>
      </c>
      <c r="B5" s="86" t="s">
        <v>213</v>
      </c>
      <c r="C5" s="8" t="s">
        <v>108</v>
      </c>
      <c r="D5" s="87" t="s">
        <v>212</v>
      </c>
      <c r="E5" s="9">
        <v>10</v>
      </c>
      <c r="F5" s="45">
        <v>247000</v>
      </c>
      <c r="G5" s="7" t="s">
        <v>11</v>
      </c>
      <c r="H5" s="88" t="s">
        <v>12</v>
      </c>
    </row>
    <row r="6" spans="1:19">
      <c r="A6" s="85" t="s">
        <v>200</v>
      </c>
      <c r="B6" s="86" t="s">
        <v>214</v>
      </c>
      <c r="C6" s="8" t="s">
        <v>215</v>
      </c>
      <c r="D6" s="87" t="s">
        <v>216</v>
      </c>
      <c r="E6" s="9">
        <v>1</v>
      </c>
      <c r="F6" s="45">
        <v>50000</v>
      </c>
      <c r="G6" s="7" t="s">
        <v>11</v>
      </c>
      <c r="H6" s="88" t="s">
        <v>12</v>
      </c>
    </row>
    <row r="7" spans="1:19" ht="17.25" thickBot="1">
      <c r="A7" s="89" t="s">
        <v>200</v>
      </c>
      <c r="B7" s="90" t="s">
        <v>217</v>
      </c>
      <c r="C7" s="91" t="s">
        <v>218</v>
      </c>
      <c r="D7" s="92" t="s">
        <v>219</v>
      </c>
      <c r="E7" s="93">
        <v>16</v>
      </c>
      <c r="F7" s="94">
        <v>592000</v>
      </c>
      <c r="G7" s="95" t="s">
        <v>11</v>
      </c>
      <c r="H7" s="96" t="s">
        <v>12</v>
      </c>
    </row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8</vt:i4>
      </vt:variant>
    </vt:vector>
  </HeadingPairs>
  <TitlesOfParts>
    <vt:vector size="16" baseType="lpstr">
      <vt:lpstr>의장</vt:lpstr>
      <vt:lpstr>부의장</vt:lpstr>
      <vt:lpstr>의회운영</vt:lpstr>
      <vt:lpstr>도시미래</vt:lpstr>
      <vt:lpstr>기획경제</vt:lpstr>
      <vt:lpstr>환경안전</vt:lpstr>
      <vt:lpstr>문화체육</vt:lpstr>
      <vt:lpstr>보건복지</vt:lpstr>
      <vt:lpstr>기획경제!Print_Area</vt:lpstr>
      <vt:lpstr>도시미래!Print_Area</vt:lpstr>
      <vt:lpstr>문화체육!Print_Area</vt:lpstr>
      <vt:lpstr>보건복지!Print_Area</vt:lpstr>
      <vt:lpstr>부의장!Print_Area</vt:lpstr>
      <vt:lpstr>의장!Print_Area</vt:lpstr>
      <vt:lpstr>의회운영!Print_Area</vt:lpstr>
      <vt:lpstr>환경안전!Print_Area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2025-07-01T07:34:29Z</cp:lastPrinted>
  <dcterms:created xsi:type="dcterms:W3CDTF">2015-04-29T01:56:17Z</dcterms:created>
  <dcterms:modified xsi:type="dcterms:W3CDTF">2025-10-11T21:55:48Z</dcterms:modified>
</cp:coreProperties>
</file>