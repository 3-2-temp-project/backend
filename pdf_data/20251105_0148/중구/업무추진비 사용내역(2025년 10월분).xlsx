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시책\"/>
    </mc:Choice>
  </mc:AlternateContent>
  <xr:revisionPtr revIDLastSave="0" documentId="13_ncr:1_{B8FC59BF-82CD-46A7-AEE0-52AA0FCD8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추진비(7월)" sheetId="4" r:id="rId1"/>
  </sheets>
  <definedNames>
    <definedName name="_xlnm._FilterDatabase" localSheetId="0" hidden="1">'업무추진비(7월)'!$A$3:$M$3</definedName>
    <definedName name="문서등록대장쿼리_업무추진비" localSheetId="0">#REF!</definedName>
    <definedName name="문서등록대장쿼리_업무추진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4" l="1"/>
  <c r="I11" i="4" l="1"/>
  <c r="M11" i="4" l="1"/>
</calcChain>
</file>

<file path=xl/sharedStrings.xml><?xml version="1.0" encoding="utf-8"?>
<sst xmlns="http://schemas.openxmlformats.org/spreadsheetml/2006/main" count="75" uniqueCount="42">
  <si>
    <t>사용자</t>
  </si>
  <si>
    <t>사용일자</t>
  </si>
  <si>
    <t>사용장소</t>
  </si>
  <si>
    <t>사용목적</t>
  </si>
  <si>
    <t>사용금액</t>
  </si>
  <si>
    <t>사용방법</t>
  </si>
  <si>
    <t/>
  </si>
  <si>
    <t>연번</t>
    <phoneticPr fontId="3" type="noConversion"/>
  </si>
  <si>
    <t>합   계</t>
    <phoneticPr fontId="3" type="noConversion"/>
  </si>
  <si>
    <t>승인일시</t>
    <phoneticPr fontId="3" type="noConversion"/>
  </si>
  <si>
    <t>인원</t>
    <phoneticPr fontId="3" type="noConversion"/>
  </si>
  <si>
    <t>세무관리과</t>
    <phoneticPr fontId="3" type="noConversion"/>
  </si>
  <si>
    <t>신용카드</t>
    <phoneticPr fontId="3" type="noConversion"/>
  </si>
  <si>
    <t>필동커피（Ｐｉｌｄｏ</t>
  </si>
  <si>
    <t>시책추진업무추진비 사용내역(2025. 10월)</t>
    <phoneticPr fontId="3" type="noConversion"/>
  </si>
  <si>
    <t>부서운영업무추진비 사용내역(2025. 10월)</t>
    <phoneticPr fontId="3" type="noConversion"/>
  </si>
  <si>
    <t>2025.10.20</t>
  </si>
  <si>
    <t>주식회사　이지피쥐</t>
  </si>
  <si>
    <t>커피빈　명동거리점</t>
  </si>
  <si>
    <t>2025.10.28</t>
  </si>
  <si>
    <t>메가엠지씨커피　동국</t>
  </si>
  <si>
    <t>2025.10.29</t>
  </si>
  <si>
    <t>수학쌤　김밥</t>
  </si>
  <si>
    <t>씨유중구청점</t>
  </si>
  <si>
    <t>2025.10.10</t>
  </si>
  <si>
    <t>2025.10.13</t>
  </si>
  <si>
    <t>（주）이춘복참치을지</t>
  </si>
  <si>
    <t>씨제이푸드빌（주）／</t>
  </si>
  <si>
    <t>09:49:20</t>
  </si>
  <si>
    <t>파리바게뜨　충무로진</t>
  </si>
  <si>
    <t>12:49:52</t>
  </si>
  <si>
    <t>셰프의　아이들</t>
  </si>
  <si>
    <t>14:06:29</t>
  </si>
  <si>
    <t>구수입 징수관련 업무 협의</t>
    <phoneticPr fontId="3" type="noConversion"/>
  </si>
  <si>
    <t>세외수입 고액체납자 징수방안 강구 협의</t>
    <phoneticPr fontId="3" type="noConversion"/>
  </si>
  <si>
    <t>현년도 체납 징수 강화방안 회의</t>
    <phoneticPr fontId="3" type="noConversion"/>
  </si>
  <si>
    <t>세외수입 세원발굴 관련 회의</t>
    <phoneticPr fontId="3" type="noConversion"/>
  </si>
  <si>
    <t>지방세심의위원회 개최 업무</t>
    <phoneticPr fontId="3" type="noConversion"/>
  </si>
  <si>
    <t>현년도 체납징수계획 수립 협의</t>
    <phoneticPr fontId="3" type="noConversion"/>
  </si>
  <si>
    <t>현년도 체납 징수 강화방안 협의</t>
    <phoneticPr fontId="3" type="noConversion"/>
  </si>
  <si>
    <t>부서 직원 간식</t>
    <phoneticPr fontId="3" type="noConversion"/>
  </si>
  <si>
    <t>부서 다과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</si>
</sst>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.mm\.dd"/>
  </numFmts>
  <fonts count="2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9"/>
      <color indexed="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" fillId="0" borderId="0">
      <alignment vertical="center"/>
    </xf>
  </cellStyleXfs>
  <cellXfs count="81">
    <xf numFmtId="0" fontId="0" fillId="0" borderId="0" xfId="0"/>
    <xf numFmtId="0" fontId="5" fillId="0" borderId="0" xfId="2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1" fontId="7" fillId="0" borderId="0" xfId="1" applyFont="1" applyAlignment="1">
      <alignment vertical="center" wrapText="1"/>
    </xf>
    <xf numFmtId="41" fontId="8" fillId="0" borderId="0" xfId="1" applyFont="1" applyFill="1" applyBorder="1" applyAlignment="1">
      <alignment vertical="center" wrapText="1"/>
    </xf>
    <xf numFmtId="41" fontId="0" fillId="0" borderId="0" xfId="1" applyFont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1" fontId="12" fillId="0" borderId="5" xfId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41" fontId="0" fillId="0" borderId="0" xfId="0" applyNumberFormat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1" fontId="11" fillId="0" borderId="3" xfId="1" applyFont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 wrapText="1"/>
    </xf>
    <xf numFmtId="0" fontId="18" fillId="3" borderId="5" xfId="2" applyFont="1" applyFill="1" applyBorder="1" applyAlignment="1">
      <alignment horizontal="center" vertical="center" wrapText="1"/>
    </xf>
    <xf numFmtId="41" fontId="18" fillId="3" borderId="5" xfId="1" applyFont="1" applyFill="1" applyBorder="1" applyAlignment="1">
      <alignment horizontal="center" vertical="center" wrapText="1"/>
    </xf>
    <xf numFmtId="0" fontId="18" fillId="3" borderId="6" xfId="2" applyFont="1" applyFill="1" applyBorder="1" applyAlignment="1">
      <alignment horizontal="center" vertical="center" wrapText="1"/>
    </xf>
    <xf numFmtId="176" fontId="19" fillId="7" borderId="1" xfId="0" applyNumberFormat="1" applyFont="1" applyFill="1" applyBorder="1" applyAlignment="1">
      <alignment horizontal="center" vertical="center" wrapText="1"/>
    </xf>
    <xf numFmtId="49" fontId="19" fillId="7" borderId="1" xfId="0" applyNumberFormat="1" applyFont="1" applyFill="1" applyBorder="1" applyAlignment="1">
      <alignment horizontal="center" vertical="center" wrapText="1"/>
    </xf>
    <xf numFmtId="49" fontId="19" fillId="7" borderId="1" xfId="0" applyNumberFormat="1" applyFont="1" applyFill="1" applyBorder="1" applyAlignment="1">
      <alignment horizontal="left" vertical="center" wrapText="1"/>
    </xf>
    <xf numFmtId="3" fontId="19" fillId="7" borderId="1" xfId="0" applyNumberFormat="1" applyFont="1" applyFill="1" applyBorder="1" applyAlignment="1">
      <alignment horizontal="right" vertical="center" wrapText="1"/>
    </xf>
    <xf numFmtId="0" fontId="15" fillId="0" borderId="13" xfId="3" applyFont="1" applyFill="1" applyBorder="1" applyAlignment="1">
      <alignment horizontal="center" vertical="center" wrapText="1"/>
    </xf>
    <xf numFmtId="41" fontId="11" fillId="0" borderId="14" xfId="1" applyFont="1" applyBorder="1" applyAlignment="1">
      <alignment horizontal="center" vertical="center"/>
    </xf>
    <xf numFmtId="0" fontId="8" fillId="6" borderId="14" xfId="2" applyFont="1" applyFill="1" applyBorder="1" applyAlignment="1">
      <alignment horizontal="center" vertical="center" wrapText="1"/>
    </xf>
    <xf numFmtId="176" fontId="19" fillId="8" borderId="13" xfId="0" applyNumberFormat="1" applyFont="1" applyFill="1" applyBorder="1" applyAlignment="1">
      <alignment horizontal="center" vertical="center" wrapText="1"/>
    </xf>
    <xf numFmtId="49" fontId="19" fillId="8" borderId="13" xfId="0" applyNumberFormat="1" applyFont="1" applyFill="1" applyBorder="1" applyAlignment="1">
      <alignment horizontal="center" vertical="center" wrapText="1"/>
    </xf>
    <xf numFmtId="3" fontId="19" fillId="8" borderId="13" xfId="0" applyNumberFormat="1" applyFont="1" applyFill="1" applyBorder="1" applyAlignment="1">
      <alignment horizontal="right" vertical="center" wrapText="1"/>
    </xf>
    <xf numFmtId="0" fontId="5" fillId="5" borderId="12" xfId="2" applyFont="1" applyFill="1" applyBorder="1" applyAlignment="1">
      <alignment horizontal="center" vertical="center" wrapText="1"/>
    </xf>
    <xf numFmtId="0" fontId="8" fillId="6" borderId="13" xfId="2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10" fillId="0" borderId="5" xfId="2" applyFont="1" applyFill="1" applyBorder="1" applyAlignment="1">
      <alignment horizontal="center" vertical="center" wrapText="1"/>
    </xf>
    <xf numFmtId="0" fontId="14" fillId="0" borderId="5" xfId="2" applyFont="1" applyFill="1" applyBorder="1" applyAlignment="1">
      <alignment horizontal="center" vertical="center" wrapText="1"/>
    </xf>
    <xf numFmtId="41" fontId="13" fillId="0" borderId="5" xfId="1" applyFont="1" applyFill="1" applyBorder="1" applyAlignment="1">
      <alignment vertical="center"/>
    </xf>
    <xf numFmtId="0" fontId="10" fillId="0" borderId="6" xfId="2" applyFont="1" applyFill="1" applyBorder="1" applyAlignment="1">
      <alignment horizontal="center" vertical="center" wrapText="1"/>
    </xf>
    <xf numFmtId="0" fontId="18" fillId="3" borderId="7" xfId="2" applyFont="1" applyFill="1" applyBorder="1" applyAlignment="1">
      <alignment horizontal="center" vertical="center" wrapText="1"/>
    </xf>
    <xf numFmtId="49" fontId="19" fillId="8" borderId="13" xfId="0" applyNumberFormat="1" applyFont="1" applyFill="1" applyBorder="1" applyAlignment="1">
      <alignment horizontal="left" vertical="center" wrapText="1"/>
    </xf>
    <xf numFmtId="0" fontId="18" fillId="3" borderId="8" xfId="2" applyFont="1" applyFill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21" fontId="20" fillId="0" borderId="13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3" fontId="20" fillId="0" borderId="13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21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3" fontId="20" fillId="0" borderId="1" xfId="0" applyNumberFormat="1" applyFont="1" applyBorder="1" applyAlignment="1">
      <alignment horizontal="right" vertical="center" wrapText="1"/>
    </xf>
    <xf numFmtId="0" fontId="5" fillId="5" borderId="16" xfId="2" applyFont="1" applyFill="1" applyBorder="1" applyAlignment="1">
      <alignment horizontal="center" vertical="center" wrapText="1"/>
    </xf>
    <xf numFmtId="0" fontId="8" fillId="6" borderId="15" xfId="2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21" fontId="20" fillId="0" borderId="15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3" fontId="20" fillId="0" borderId="15" xfId="0" applyNumberFormat="1" applyFont="1" applyBorder="1" applyAlignment="1">
      <alignment horizontal="right" vertical="center" wrapText="1"/>
    </xf>
    <xf numFmtId="0" fontId="8" fillId="6" borderId="17" xfId="2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5" fillId="0" borderId="15" xfId="3" applyFont="1" applyFill="1" applyBorder="1" applyAlignment="1">
      <alignment horizontal="center" vertical="center" wrapText="1"/>
    </xf>
    <xf numFmtId="41" fontId="11" fillId="0" borderId="17" xfId="1" applyFont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 wrapText="1"/>
    </xf>
    <xf numFmtId="0" fontId="13" fillId="3" borderId="5" xfId="2" applyFont="1" applyFill="1" applyBorder="1" applyAlignment="1">
      <alignment horizontal="center" vertical="center" wrapText="1"/>
    </xf>
    <xf numFmtId="41" fontId="13" fillId="3" borderId="5" xfId="1" applyFont="1" applyFill="1" applyBorder="1" applyAlignment="1">
      <alignment vertical="center"/>
    </xf>
    <xf numFmtId="0" fontId="13" fillId="3" borderId="6" xfId="2" applyFont="1" applyFill="1" applyBorder="1" applyAlignment="1">
      <alignment horizontal="center" vertical="center" wrapText="1"/>
    </xf>
    <xf numFmtId="176" fontId="19" fillId="7" borderId="15" xfId="0" applyNumberFormat="1" applyFont="1" applyFill="1" applyBorder="1" applyAlignment="1">
      <alignment horizontal="center" vertical="center" wrapText="1"/>
    </xf>
    <xf numFmtId="49" fontId="19" fillId="7" borderId="15" xfId="0" applyNumberFormat="1" applyFont="1" applyFill="1" applyBorder="1" applyAlignment="1">
      <alignment horizontal="center" vertical="center" wrapText="1"/>
    </xf>
    <xf numFmtId="49" fontId="19" fillId="7" borderId="15" xfId="0" applyNumberFormat="1" applyFont="1" applyFill="1" applyBorder="1" applyAlignment="1">
      <alignment horizontal="left" vertical="center" wrapText="1"/>
    </xf>
    <xf numFmtId="3" fontId="19" fillId="7" borderId="15" xfId="0" applyNumberFormat="1" applyFont="1" applyFill="1" applyBorder="1" applyAlignment="1">
      <alignment horizontal="righ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49" fontId="19" fillId="8" borderId="18" xfId="0" applyNumberFormat="1" applyFont="1" applyFill="1" applyBorder="1" applyAlignment="1">
      <alignment horizontal="center" vertical="center" wrapText="1"/>
    </xf>
    <xf numFmtId="49" fontId="19" fillId="8" borderId="19" xfId="0" applyNumberFormat="1" applyFont="1" applyFill="1" applyBorder="1" applyAlignment="1">
      <alignment horizontal="center" vertical="center" wrapText="1"/>
    </xf>
    <xf numFmtId="49" fontId="19" fillId="7" borderId="20" xfId="0" applyNumberFormat="1" applyFont="1" applyFill="1" applyBorder="1" applyAlignment="1">
      <alignment horizontal="center" vertical="center" wrapText="1"/>
    </xf>
    <xf numFmtId="49" fontId="19" fillId="7" borderId="21" xfId="0" applyNumberFormat="1" applyFont="1" applyFill="1" applyBorder="1" applyAlignment="1">
      <alignment horizontal="center" vertical="center" wrapText="1"/>
    </xf>
    <xf numFmtId="49" fontId="19" fillId="7" borderId="22" xfId="0" applyNumberFormat="1" applyFont="1" applyFill="1" applyBorder="1" applyAlignment="1">
      <alignment horizontal="center" vertical="center" wrapText="1"/>
    </xf>
    <xf numFmtId="49" fontId="19" fillId="7" borderId="23" xfId="0" applyNumberFormat="1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4" xr:uid="{00000000-0005-0000-0000-000032000000}"/>
    <cellStyle name="표준_Sheet1" xfId="2" xr:uid="{775AC0A0-1A65-4ADE-9CB3-266DA1727736}"/>
    <cellStyle name="표준_업무추진비_1" xfId="3" xr:uid="{3341A4D3-622F-48B5-93E2-11146A9A39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B049-1F25-40B0-BEDA-C21ACEBF3C74}">
  <sheetPr>
    <pageSetUpPr fitToPage="1"/>
  </sheetPr>
  <dimension ref="A1:M20"/>
  <sheetViews>
    <sheetView showGridLines="0" tabSelected="1" workbookViewId="0">
      <selection activeCell="F25" sqref="F25"/>
    </sheetView>
  </sheetViews>
  <sheetFormatPr defaultColWidth="25.125" defaultRowHeight="19.5" customHeight="1"/>
  <cols>
    <col min="1" max="1" width="0.625" style="3" customWidth="1"/>
    <col min="2" max="2" width="5.125" style="4" customWidth="1"/>
    <col min="3" max="3" width="8.375" style="3" bestFit="1" customWidth="1"/>
    <col min="4" max="4" width="9.75" style="3" bestFit="1" customWidth="1"/>
    <col min="5" max="5" width="14" style="3" customWidth="1"/>
    <col min="6" max="6" width="23.75" style="3" customWidth="1"/>
    <col min="7" max="7" width="27.125" style="3" customWidth="1"/>
    <col min="8" max="8" width="6.625" style="3" customWidth="1"/>
    <col min="9" max="9" width="10.25" style="9" customWidth="1"/>
    <col min="10" max="10" width="10" style="3" customWidth="1"/>
    <col min="11" max="11" width="44.25" style="3" customWidth="1"/>
    <col min="12" max="12" width="25.125" style="3"/>
    <col min="13" max="13" width="25.125" style="3" hidden="1" customWidth="1"/>
    <col min="14" max="16384" width="25.125" style="3"/>
  </cols>
  <sheetData>
    <row r="1" spans="1:13" ht="19.5" customHeight="1">
      <c r="B1" s="74" t="s">
        <v>14</v>
      </c>
      <c r="C1" s="74"/>
      <c r="D1" s="74"/>
      <c r="E1" s="74"/>
      <c r="F1" s="74"/>
      <c r="G1" s="74"/>
      <c r="H1" s="74"/>
      <c r="I1" s="74"/>
      <c r="J1" s="74"/>
    </row>
    <row r="2" spans="1:13" ht="19.5" customHeight="1" thickBot="1">
      <c r="C2" s="5"/>
      <c r="D2" s="5"/>
      <c r="E2" s="5"/>
      <c r="F2" s="5"/>
      <c r="G2" s="5"/>
      <c r="H2" s="5"/>
      <c r="I2" s="7"/>
      <c r="J2" s="5"/>
    </row>
    <row r="3" spans="1:13" ht="19.5" customHeight="1" thickBot="1">
      <c r="A3" s="19"/>
      <c r="B3" s="64" t="s">
        <v>7</v>
      </c>
      <c r="C3" s="65" t="s">
        <v>0</v>
      </c>
      <c r="D3" s="65" t="s">
        <v>1</v>
      </c>
      <c r="E3" s="65" t="s">
        <v>9</v>
      </c>
      <c r="F3" s="65" t="s">
        <v>2</v>
      </c>
      <c r="G3" s="65" t="s">
        <v>3</v>
      </c>
      <c r="H3" s="65" t="s">
        <v>10</v>
      </c>
      <c r="I3" s="66" t="s">
        <v>4</v>
      </c>
      <c r="J3" s="67" t="s">
        <v>5</v>
      </c>
    </row>
    <row r="4" spans="1:13" s="4" customFormat="1" ht="19.5" customHeight="1">
      <c r="A4" s="61"/>
      <c r="B4" s="36">
        <v>1</v>
      </c>
      <c r="C4" s="30" t="s">
        <v>11</v>
      </c>
      <c r="D4" s="46" t="s">
        <v>24</v>
      </c>
      <c r="E4" s="47">
        <v>0.50603009259259257</v>
      </c>
      <c r="F4" s="48" t="s">
        <v>13</v>
      </c>
      <c r="G4" s="48" t="s">
        <v>34</v>
      </c>
      <c r="H4" s="46">
        <v>5</v>
      </c>
      <c r="I4" s="49">
        <v>32800</v>
      </c>
      <c r="J4" s="31" t="s">
        <v>12</v>
      </c>
    </row>
    <row r="5" spans="1:13" s="4" customFormat="1" ht="19.5" customHeight="1">
      <c r="A5" s="61"/>
      <c r="B5" s="16">
        <v>2</v>
      </c>
      <c r="C5" s="15" t="s">
        <v>11</v>
      </c>
      <c r="D5" s="50" t="s">
        <v>25</v>
      </c>
      <c r="E5" s="51">
        <v>0.52224537037037033</v>
      </c>
      <c r="F5" s="52" t="s">
        <v>26</v>
      </c>
      <c r="G5" s="52" t="s">
        <v>33</v>
      </c>
      <c r="H5" s="50">
        <v>7</v>
      </c>
      <c r="I5" s="53">
        <v>213000</v>
      </c>
      <c r="J5" s="21" t="s">
        <v>12</v>
      </c>
    </row>
    <row r="6" spans="1:13" s="4" customFormat="1" ht="19.5" customHeight="1">
      <c r="A6" s="61"/>
      <c r="B6" s="16">
        <v>3</v>
      </c>
      <c r="C6" s="15" t="s">
        <v>11</v>
      </c>
      <c r="D6" s="50" t="s">
        <v>16</v>
      </c>
      <c r="E6" s="51">
        <v>0.5272337962962963</v>
      </c>
      <c r="F6" s="52" t="s">
        <v>17</v>
      </c>
      <c r="G6" s="52" t="s">
        <v>36</v>
      </c>
      <c r="H6" s="50">
        <v>4</v>
      </c>
      <c r="I6" s="53">
        <v>44000</v>
      </c>
      <c r="J6" s="21" t="s">
        <v>12</v>
      </c>
    </row>
    <row r="7" spans="1:13" s="4" customFormat="1" ht="19.5" customHeight="1">
      <c r="A7" s="61"/>
      <c r="B7" s="16">
        <v>4</v>
      </c>
      <c r="C7" s="15" t="s">
        <v>11</v>
      </c>
      <c r="D7" s="50" t="s">
        <v>16</v>
      </c>
      <c r="E7" s="51">
        <v>0.53023148148148147</v>
      </c>
      <c r="F7" s="52" t="s">
        <v>18</v>
      </c>
      <c r="G7" s="52" t="s">
        <v>35</v>
      </c>
      <c r="H7" s="50">
        <v>3</v>
      </c>
      <c r="I7" s="53">
        <v>25800</v>
      </c>
      <c r="J7" s="21" t="s">
        <v>12</v>
      </c>
    </row>
    <row r="8" spans="1:13" s="4" customFormat="1" ht="19.5" customHeight="1">
      <c r="A8" s="61"/>
      <c r="B8" s="16">
        <v>5</v>
      </c>
      <c r="C8" s="15" t="s">
        <v>11</v>
      </c>
      <c r="D8" s="50" t="s">
        <v>19</v>
      </c>
      <c r="E8" s="51">
        <v>0.50074074074074071</v>
      </c>
      <c r="F8" s="52" t="s">
        <v>20</v>
      </c>
      <c r="G8" s="52" t="s">
        <v>39</v>
      </c>
      <c r="H8" s="50">
        <v>7</v>
      </c>
      <c r="I8" s="53">
        <v>24500</v>
      </c>
      <c r="J8" s="21" t="s">
        <v>12</v>
      </c>
    </row>
    <row r="9" spans="1:13" s="4" customFormat="1" ht="19.5" customHeight="1">
      <c r="A9" s="61"/>
      <c r="B9" s="16">
        <v>6</v>
      </c>
      <c r="C9" s="15" t="s">
        <v>11</v>
      </c>
      <c r="D9" s="50" t="s">
        <v>21</v>
      </c>
      <c r="E9" s="51">
        <v>0.39453703703703702</v>
      </c>
      <c r="F9" s="52" t="s">
        <v>22</v>
      </c>
      <c r="G9" s="52" t="s">
        <v>37</v>
      </c>
      <c r="H9" s="50">
        <v>4</v>
      </c>
      <c r="I9" s="53">
        <v>18000</v>
      </c>
      <c r="J9" s="21" t="s">
        <v>12</v>
      </c>
    </row>
    <row r="10" spans="1:13" s="4" customFormat="1" ht="19.5" customHeight="1" thickBot="1">
      <c r="A10" s="61"/>
      <c r="B10" s="54">
        <v>7</v>
      </c>
      <c r="C10" s="62" t="s">
        <v>11</v>
      </c>
      <c r="D10" s="56" t="s">
        <v>21</v>
      </c>
      <c r="E10" s="57">
        <v>0.39947916666666666</v>
      </c>
      <c r="F10" s="58" t="s">
        <v>23</v>
      </c>
      <c r="G10" s="58" t="s">
        <v>38</v>
      </c>
      <c r="H10" s="56">
        <v>4</v>
      </c>
      <c r="I10" s="59">
        <v>5900</v>
      </c>
      <c r="J10" s="63" t="s">
        <v>12</v>
      </c>
    </row>
    <row r="11" spans="1:13" ht="19.5" customHeight="1" thickBot="1">
      <c r="A11" s="20"/>
      <c r="B11" s="38"/>
      <c r="C11" s="39"/>
      <c r="D11" s="39"/>
      <c r="E11" s="39"/>
      <c r="F11" s="39"/>
      <c r="G11" s="40" t="s">
        <v>8</v>
      </c>
      <c r="H11" s="40"/>
      <c r="I11" s="41">
        <f>SUM(I4:I10)</f>
        <v>364000</v>
      </c>
      <c r="J11" s="42"/>
      <c r="M11" s="14" t="e">
        <f>I11+#REF!</f>
        <v>#REF!</v>
      </c>
    </row>
    <row r="12" spans="1:13" s="6" customFormat="1" ht="19.5" customHeight="1">
      <c r="B12" s="1"/>
      <c r="C12" s="2"/>
      <c r="D12" s="2"/>
      <c r="E12" s="2"/>
      <c r="F12" s="2"/>
      <c r="G12" s="2"/>
      <c r="H12" s="2"/>
      <c r="I12" s="8"/>
      <c r="J12" s="2"/>
    </row>
    <row r="13" spans="1:13" s="6" customFormat="1" ht="19.5" customHeight="1">
      <c r="B13" s="1"/>
      <c r="C13" s="2"/>
      <c r="D13" s="2" t="s">
        <v>6</v>
      </c>
      <c r="E13" s="2"/>
      <c r="F13" s="2" t="s">
        <v>6</v>
      </c>
      <c r="G13" s="2" t="s">
        <v>6</v>
      </c>
      <c r="H13" s="2"/>
      <c r="I13" s="8"/>
      <c r="J13" s="2" t="s">
        <v>6</v>
      </c>
    </row>
    <row r="14" spans="1:13" ht="19.5" customHeight="1">
      <c r="B14" s="74" t="s">
        <v>15</v>
      </c>
      <c r="C14" s="74"/>
      <c r="D14" s="74"/>
      <c r="E14" s="74"/>
      <c r="F14" s="74"/>
      <c r="G14" s="74"/>
      <c r="H14" s="74"/>
      <c r="I14" s="74"/>
      <c r="J14" s="74"/>
    </row>
    <row r="15" spans="1:13" ht="19.5" customHeight="1" thickBot="1">
      <c r="C15" s="5"/>
      <c r="D15" s="5"/>
      <c r="E15" s="5"/>
      <c r="F15" s="5"/>
      <c r="G15" s="5"/>
      <c r="H15" s="5"/>
      <c r="I15" s="7"/>
      <c r="J15" s="5"/>
    </row>
    <row r="16" spans="1:13" ht="19.5" customHeight="1" thickBot="1">
      <c r="B16" s="22" t="s">
        <v>7</v>
      </c>
      <c r="C16" s="23" t="s">
        <v>0</v>
      </c>
      <c r="D16" s="23" t="s">
        <v>1</v>
      </c>
      <c r="E16" s="23" t="s">
        <v>9</v>
      </c>
      <c r="F16" s="23" t="s">
        <v>2</v>
      </c>
      <c r="G16" s="43" t="s">
        <v>3</v>
      </c>
      <c r="H16" s="45"/>
      <c r="I16" s="24" t="s">
        <v>4</v>
      </c>
      <c r="J16" s="25" t="s">
        <v>5</v>
      </c>
    </row>
    <row r="17" spans="2:10" ht="19.5" customHeight="1">
      <c r="B17" s="36">
        <v>1</v>
      </c>
      <c r="C17" s="37" t="s">
        <v>11</v>
      </c>
      <c r="D17" s="33">
        <v>45931</v>
      </c>
      <c r="E17" s="34" t="s">
        <v>32</v>
      </c>
      <c r="F17" s="44" t="s">
        <v>31</v>
      </c>
      <c r="G17" s="75" t="s">
        <v>40</v>
      </c>
      <c r="H17" s="76"/>
      <c r="I17" s="35">
        <v>48700</v>
      </c>
      <c r="J17" s="32" t="s">
        <v>12</v>
      </c>
    </row>
    <row r="18" spans="2:10" ht="19.5" customHeight="1">
      <c r="B18" s="16">
        <v>2</v>
      </c>
      <c r="C18" s="17" t="s">
        <v>11</v>
      </c>
      <c r="D18" s="26">
        <v>45932</v>
      </c>
      <c r="E18" s="27" t="s">
        <v>30</v>
      </c>
      <c r="F18" s="28" t="s">
        <v>29</v>
      </c>
      <c r="G18" s="77" t="s">
        <v>41</v>
      </c>
      <c r="H18" s="78"/>
      <c r="I18" s="29">
        <v>29900</v>
      </c>
      <c r="J18" s="18" t="s">
        <v>12</v>
      </c>
    </row>
    <row r="19" spans="2:10" ht="19.5" customHeight="1" thickBot="1">
      <c r="B19" s="54">
        <v>3</v>
      </c>
      <c r="C19" s="55" t="s">
        <v>11</v>
      </c>
      <c r="D19" s="68">
        <v>45959</v>
      </c>
      <c r="E19" s="69" t="s">
        <v>28</v>
      </c>
      <c r="F19" s="70" t="s">
        <v>27</v>
      </c>
      <c r="G19" s="79" t="s">
        <v>40</v>
      </c>
      <c r="H19" s="80"/>
      <c r="I19" s="71">
        <v>33100</v>
      </c>
      <c r="J19" s="60" t="s">
        <v>12</v>
      </c>
    </row>
    <row r="20" spans="2:10" ht="19.5" customHeight="1" thickBot="1">
      <c r="B20" s="10"/>
      <c r="C20" s="11"/>
      <c r="D20" s="11"/>
      <c r="E20" s="11"/>
      <c r="F20" s="11"/>
      <c r="G20" s="72" t="s">
        <v>8</v>
      </c>
      <c r="H20" s="73"/>
      <c r="I20" s="12">
        <f>SUM(I17:I19)</f>
        <v>111700</v>
      </c>
      <c r="J20" s="13"/>
    </row>
  </sheetData>
  <autoFilter ref="A3:M3" xr:uid="{9517B049-1F25-40B0-BEDA-C21ACEBF3C74}">
    <sortState xmlns:xlrd2="http://schemas.microsoft.com/office/spreadsheetml/2017/richdata2" ref="A4:M11">
      <sortCondition ref="D3"/>
    </sortState>
  </autoFilter>
  <mergeCells count="6">
    <mergeCell ref="G20:H20"/>
    <mergeCell ref="B1:J1"/>
    <mergeCell ref="B14:J14"/>
    <mergeCell ref="G17:H17"/>
    <mergeCell ref="G18:H18"/>
    <mergeCell ref="G19:H19"/>
  </mergeCells>
  <phoneticPr fontId="3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업무추진비(7월)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2021-12-31T05:11:25Z</cp:lastPrinted>
  <dcterms:created xsi:type="dcterms:W3CDTF">2020-07-30T10:32:31Z</dcterms:created>
  <dcterms:modified xsi:type="dcterms:W3CDTF">2025-11-04T05:04:16Z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eyJub2RlMSI6eyJkc2QiOiIwMTAwMDAwMDAwMDAyMzM1IiwibG9nVGltZSI6IjIwMjMtMTAtMDZUMDI6MTE6NTBaIiwicElEIjoyLCJ0cmFjZUlkIjoiOEQwNEQ0M0ZDMkIzNDMzREFGQjk5MUY1MjdDQkMwRTUiLCJ1c2VyQ29kZSI6InNlb2hhMDEwNyJ9LCJub2RlMiI6eyJkc2QiOiIwMTAwMDAwMDAwMDAyMzM1IiwibG9nVGltZSI6IjI</vt:lpwstr>
  </property>
</Properties>
</file>