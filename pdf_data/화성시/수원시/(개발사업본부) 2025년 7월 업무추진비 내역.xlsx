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행정\03_서무\06_업무추진비\"/>
    </mc:Choice>
  </mc:AlternateContent>
  <bookViews>
    <workbookView xWindow="-120" yWindow="-120" windowWidth="38640" windowHeight="21240"/>
  </bookViews>
  <sheets>
    <sheet name="업무추진비 내역" sheetId="2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5" l="1"/>
  <c r="A10" i="25" l="1"/>
  <c r="F10" i="25"/>
  <c r="B10" i="25" l="1"/>
</calcChain>
</file>

<file path=xl/sharedStrings.xml><?xml version="1.0" encoding="utf-8"?>
<sst xmlns="http://schemas.openxmlformats.org/spreadsheetml/2006/main" count="108" uniqueCount="42">
  <si>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</si>
  <si>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</si>
  <si>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</si>
  <si>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</si>
  <si>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</si>
  <si>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</si>
  <si>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</si>
  <si>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</si>
  <si>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</si>
  <si>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</si>
  <si>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</si>
  <si>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</si>
  <si>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</si>
  <si>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</si>
  <si>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</si>
  <si>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</si>
  <si>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</si>
  <si>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</si>
  <si>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</si>
  <si>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</si>
  <si>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>관계기관 업무협의</t>
    <phoneticPr fontId="17" type="noConversion"/>
  </si>
  <si>
    <t>업무협의</t>
    <phoneticPr fontId="17" type="noConversion"/>
  </si>
  <si>
    <t>개발사업본부</t>
    <phoneticPr fontId="17" type="noConversion"/>
  </si>
  <si>
    <t>한상차림 코다리명가</t>
  </si>
  <si>
    <t>2025년 7월 업무추진비 집행내역(개발사업본부)</t>
    <phoneticPr fontId="1" type="noConversion"/>
  </si>
  <si>
    <t>더 깨끗하고 투명한 행정으로 "청렴 도시 수원"을 만들어 가고자
2025년  7월 중 (개발사업본부)에서 사용한 업무추진비 집행내역을 공개합니다.</t>
    <phoneticPr fontId="1" type="noConversion"/>
  </si>
  <si>
    <t xml:space="preserve">□ 7월 집행내역 총괄 </t>
    <phoneticPr fontId="1" type="noConversion"/>
  </si>
  <si>
    <t>서수원살살녹소</t>
    <phoneticPr fontId="17" type="noConversion"/>
  </si>
  <si>
    <t>스타벅스</t>
    <phoneticPr fontId="17" type="noConversion"/>
  </si>
  <si>
    <t>메가엠지씨커피 장안</t>
    <phoneticPr fontId="17" type="noConversion"/>
  </si>
  <si>
    <t>사랑방</t>
    <phoneticPr fontId="17" type="noConversion"/>
  </si>
  <si>
    <t>가마치통닭</t>
    <phoneticPr fontId="17" type="noConversion"/>
  </si>
  <si>
    <t>동천홍</t>
    <phoneticPr fontId="17" type="noConversion"/>
  </si>
  <si>
    <t>왕초네</t>
    <phoneticPr fontId="17" type="noConversion"/>
  </si>
  <si>
    <t>신사우물갈비</t>
    <phoneticPr fontId="17" type="noConversion"/>
  </si>
  <si>
    <t>갈풍집</t>
    <phoneticPr fontId="17" type="noConversion"/>
  </si>
  <si>
    <t>엄지민물매문탕</t>
    <phoneticPr fontId="17" type="noConversion"/>
  </si>
  <si>
    <t>탑동지구 관계자 부식 제공</t>
    <phoneticPr fontId="17" type="noConversion"/>
  </si>
  <si>
    <t>송파아구찜</t>
    <phoneticPr fontId="17" type="noConversion"/>
  </si>
  <si>
    <t>왕초네</t>
    <phoneticPr fontId="17" type="noConversion"/>
  </si>
  <si>
    <t>카드</t>
    <phoneticPr fontId="17" type="noConversion"/>
  </si>
  <si>
    <t>급식비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</si>
</sst>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vertical="center" shrinkToFit="1"/>
    </xf>
    <xf numFmtId="41" fontId="3" fillId="0" borderId="16" xfId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0" fontId="12" fillId="0" borderId="16" xfId="0" applyFont="1" applyBorder="1" applyAlignment="1">
      <alignment horizontal="center" vertical="center" wrapText="1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130" zoomScaleNormal="130" workbookViewId="0">
      <selection activeCell="A3" sqref="A3:O3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10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44" t="s">
        <v>25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47" t="s">
        <v>26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15" ht="15" customHeight="1">
      <c r="A7" s="48" t="s">
        <v>11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1:15" ht="20.100000000000001" customHeight="1">
      <c r="A8" s="49" t="s">
        <v>1</v>
      </c>
      <c r="B8" s="50"/>
      <c r="C8" s="50"/>
      <c r="D8" s="4"/>
      <c r="E8" s="49" t="s">
        <v>5</v>
      </c>
      <c r="F8" s="51"/>
      <c r="G8" s="49" t="s">
        <v>6</v>
      </c>
      <c r="H8" s="52"/>
      <c r="I8" s="55" t="s">
        <v>7</v>
      </c>
      <c r="J8" s="55"/>
      <c r="K8" s="55"/>
      <c r="L8" s="55"/>
      <c r="M8" s="53" t="s">
        <v>17</v>
      </c>
      <c r="N8" s="53"/>
      <c r="O8" s="54"/>
    </row>
    <row r="9" spans="1:15" ht="20.100000000000001" customHeight="1">
      <c r="A9" s="12" t="s">
        <v>3</v>
      </c>
      <c r="B9" s="40" t="s">
        <v>4</v>
      </c>
      <c r="C9" s="41"/>
      <c r="D9" s="42"/>
      <c r="E9" s="9" t="s">
        <v>3</v>
      </c>
      <c r="F9" s="12" t="s">
        <v>4</v>
      </c>
      <c r="G9" s="9" t="s">
        <v>3</v>
      </c>
      <c r="H9" s="12" t="s">
        <v>4</v>
      </c>
      <c r="I9" s="20" t="s">
        <v>3</v>
      </c>
      <c r="J9" s="56" t="s">
        <v>8</v>
      </c>
      <c r="K9" s="56"/>
      <c r="L9" s="56"/>
      <c r="M9" s="20" t="s">
        <v>18</v>
      </c>
      <c r="N9" s="56" t="s">
        <v>15</v>
      </c>
      <c r="O9" s="56"/>
    </row>
    <row r="10" spans="1:15" ht="30" customHeight="1">
      <c r="A10" s="13">
        <f>E10</f>
        <v>16</v>
      </c>
      <c r="B10" s="37">
        <f>F10</f>
        <v>1359300</v>
      </c>
      <c r="C10" s="38"/>
      <c r="D10" s="39"/>
      <c r="E10" s="11">
        <f>COUNT(K15:M30)</f>
        <v>16</v>
      </c>
      <c r="F10" s="14">
        <f>SUM(K15:M49)</f>
        <v>1359300</v>
      </c>
      <c r="G10" s="13"/>
      <c r="H10" s="15"/>
      <c r="I10" s="16"/>
      <c r="J10" s="57">
        <v>0</v>
      </c>
      <c r="K10" s="57"/>
      <c r="L10" s="57"/>
      <c r="M10" s="16">
        <v>0</v>
      </c>
      <c r="N10" s="58"/>
      <c r="O10" s="59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47" t="s">
        <v>0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6"/>
      <c r="L13" s="36"/>
      <c r="M13" s="36"/>
      <c r="N13" s="36"/>
      <c r="O13" s="36"/>
    </row>
    <row r="14" spans="1:15" s="2" customFormat="1" ht="30" customHeight="1">
      <c r="A14" s="60" t="s">
        <v>2</v>
      </c>
      <c r="B14" s="61"/>
      <c r="C14" s="60" t="s">
        <v>14</v>
      </c>
      <c r="D14" s="62"/>
      <c r="E14" s="61" t="s">
        <v>13</v>
      </c>
      <c r="F14" s="61"/>
      <c r="G14" s="62"/>
      <c r="H14" s="10" t="s">
        <v>10</v>
      </c>
      <c r="I14" s="60" t="s">
        <v>9</v>
      </c>
      <c r="J14" s="62"/>
      <c r="K14" s="60" t="s">
        <v>19</v>
      </c>
      <c r="L14" s="61"/>
      <c r="M14" s="62"/>
      <c r="N14" s="17" t="s">
        <v>12</v>
      </c>
      <c r="O14" s="10" t="s">
        <v>16</v>
      </c>
    </row>
    <row r="15" spans="1:15" s="2" customFormat="1" ht="24.75" customHeight="1">
      <c r="A15" s="31">
        <v>45839</v>
      </c>
      <c r="B15" s="32"/>
      <c r="C15" s="33" t="s">
        <v>30</v>
      </c>
      <c r="D15" s="34"/>
      <c r="E15" s="35" t="s">
        <v>20</v>
      </c>
      <c r="F15" s="35"/>
      <c r="G15" s="35"/>
      <c r="H15" s="21" t="s">
        <v>21</v>
      </c>
      <c r="I15" s="29" t="s">
        <v>22</v>
      </c>
      <c r="J15" s="29"/>
      <c r="K15" s="30">
        <v>36000</v>
      </c>
      <c r="L15" s="30"/>
      <c r="M15" s="30"/>
      <c r="N15" s="18">
        <v>4</v>
      </c>
      <c r="O15" s="19" t="s">
        <v>40</v>
      </c>
    </row>
    <row r="16" spans="1:15" s="2" customFormat="1" ht="24.75" customHeight="1">
      <c r="A16" s="31">
        <v>45839</v>
      </c>
      <c r="B16" s="32"/>
      <c r="C16" s="33" t="s">
        <v>27</v>
      </c>
      <c r="D16" s="34"/>
      <c r="E16" s="35" t="s">
        <v>20</v>
      </c>
      <c r="F16" s="35"/>
      <c r="G16" s="35"/>
      <c r="H16" s="25" t="s">
        <v>21</v>
      </c>
      <c r="I16" s="29" t="s">
        <v>22</v>
      </c>
      <c r="J16" s="29"/>
      <c r="K16" s="30">
        <v>240000</v>
      </c>
      <c r="L16" s="30"/>
      <c r="M16" s="30"/>
      <c r="N16" s="26">
        <v>8</v>
      </c>
      <c r="O16" s="19" t="s">
        <v>40</v>
      </c>
    </row>
    <row r="17" spans="1:15" ht="24.75" customHeight="1">
      <c r="A17" s="31">
        <v>45846</v>
      </c>
      <c r="B17" s="32"/>
      <c r="C17" s="33" t="s">
        <v>27</v>
      </c>
      <c r="D17" s="34"/>
      <c r="E17" s="35" t="s">
        <v>20</v>
      </c>
      <c r="F17" s="35"/>
      <c r="G17" s="35"/>
      <c r="H17" s="25" t="s">
        <v>21</v>
      </c>
      <c r="I17" s="29" t="s">
        <v>22</v>
      </c>
      <c r="J17" s="29"/>
      <c r="K17" s="30">
        <v>240000</v>
      </c>
      <c r="L17" s="30"/>
      <c r="M17" s="30"/>
      <c r="N17" s="28">
        <v>8</v>
      </c>
      <c r="O17" s="19" t="s">
        <v>40</v>
      </c>
    </row>
    <row r="18" spans="1:15" ht="24.75" customHeight="1">
      <c r="A18" s="31">
        <v>45846</v>
      </c>
      <c r="B18" s="32"/>
      <c r="C18" s="33" t="s">
        <v>23</v>
      </c>
      <c r="D18" s="34"/>
      <c r="E18" s="35" t="s">
        <v>20</v>
      </c>
      <c r="F18" s="35"/>
      <c r="G18" s="35"/>
      <c r="H18" s="25" t="s">
        <v>21</v>
      </c>
      <c r="I18" s="29" t="s">
        <v>22</v>
      </c>
      <c r="J18" s="29"/>
      <c r="K18" s="30">
        <v>60000</v>
      </c>
      <c r="L18" s="30"/>
      <c r="M18" s="30"/>
      <c r="N18" s="24">
        <v>5</v>
      </c>
      <c r="O18" s="19" t="s">
        <v>40</v>
      </c>
    </row>
    <row r="19" spans="1:15" ht="24.75" customHeight="1">
      <c r="A19" s="31">
        <v>45848</v>
      </c>
      <c r="B19" s="32"/>
      <c r="C19" s="33" t="s">
        <v>31</v>
      </c>
      <c r="D19" s="34"/>
      <c r="E19" s="35" t="s">
        <v>20</v>
      </c>
      <c r="F19" s="35"/>
      <c r="G19" s="35"/>
      <c r="H19" s="25" t="s">
        <v>21</v>
      </c>
      <c r="I19" s="29" t="s">
        <v>22</v>
      </c>
      <c r="J19" s="29"/>
      <c r="K19" s="30">
        <v>51000</v>
      </c>
      <c r="L19" s="30"/>
      <c r="M19" s="30"/>
      <c r="N19" s="24">
        <v>4</v>
      </c>
      <c r="O19" s="19" t="s">
        <v>40</v>
      </c>
    </row>
    <row r="20" spans="1:15" ht="24.75" customHeight="1">
      <c r="A20" s="31">
        <v>45849</v>
      </c>
      <c r="B20" s="32"/>
      <c r="C20" s="33" t="s">
        <v>23</v>
      </c>
      <c r="D20" s="34"/>
      <c r="E20" s="35" t="s">
        <v>20</v>
      </c>
      <c r="F20" s="35"/>
      <c r="G20" s="35"/>
      <c r="H20" s="25" t="s">
        <v>21</v>
      </c>
      <c r="I20" s="29" t="s">
        <v>22</v>
      </c>
      <c r="J20" s="29"/>
      <c r="K20" s="30">
        <v>60000</v>
      </c>
      <c r="L20" s="30"/>
      <c r="M20" s="30"/>
      <c r="N20" s="24">
        <v>5</v>
      </c>
      <c r="O20" s="19" t="s">
        <v>40</v>
      </c>
    </row>
    <row r="21" spans="1:15" ht="24.75" customHeight="1">
      <c r="A21" s="31">
        <v>45849</v>
      </c>
      <c r="B21" s="32"/>
      <c r="C21" s="33" t="s">
        <v>28</v>
      </c>
      <c r="D21" s="34"/>
      <c r="E21" s="35" t="s">
        <v>20</v>
      </c>
      <c r="F21" s="35"/>
      <c r="G21" s="35"/>
      <c r="H21" s="23" t="s">
        <v>21</v>
      </c>
      <c r="I21" s="29" t="s">
        <v>22</v>
      </c>
      <c r="J21" s="29"/>
      <c r="K21" s="30">
        <v>21600</v>
      </c>
      <c r="L21" s="30"/>
      <c r="M21" s="30"/>
      <c r="N21" s="22">
        <v>5</v>
      </c>
      <c r="O21" s="19" t="s">
        <v>40</v>
      </c>
    </row>
    <row r="22" spans="1:15" ht="24.75" customHeight="1">
      <c r="A22" s="31">
        <v>45854</v>
      </c>
      <c r="B22" s="32"/>
      <c r="C22" s="33" t="s">
        <v>32</v>
      </c>
      <c r="D22" s="34"/>
      <c r="E22" s="35" t="s">
        <v>20</v>
      </c>
      <c r="F22" s="35"/>
      <c r="G22" s="35"/>
      <c r="H22" s="25" t="s">
        <v>21</v>
      </c>
      <c r="I22" s="29" t="s">
        <v>22</v>
      </c>
      <c r="J22" s="29"/>
      <c r="K22" s="30">
        <v>63000</v>
      </c>
      <c r="L22" s="30"/>
      <c r="M22" s="30"/>
      <c r="N22" s="24">
        <v>6</v>
      </c>
      <c r="O22" s="19" t="s">
        <v>40</v>
      </c>
    </row>
    <row r="23" spans="1:15" ht="24.75" customHeight="1">
      <c r="A23" s="31">
        <v>45855</v>
      </c>
      <c r="B23" s="32"/>
      <c r="C23" s="33" t="s">
        <v>33</v>
      </c>
      <c r="D23" s="34"/>
      <c r="E23" s="35" t="s">
        <v>20</v>
      </c>
      <c r="F23" s="35"/>
      <c r="G23" s="35"/>
      <c r="H23" s="25" t="s">
        <v>21</v>
      </c>
      <c r="I23" s="29" t="s">
        <v>22</v>
      </c>
      <c r="J23" s="29"/>
      <c r="K23" s="30">
        <v>54000</v>
      </c>
      <c r="L23" s="30"/>
      <c r="M23" s="30"/>
      <c r="N23" s="24">
        <v>4</v>
      </c>
      <c r="O23" s="19" t="s">
        <v>40</v>
      </c>
    </row>
    <row r="24" spans="1:15" ht="24.75" customHeight="1">
      <c r="A24" s="31">
        <v>45856</v>
      </c>
      <c r="B24" s="32"/>
      <c r="C24" s="33" t="s">
        <v>34</v>
      </c>
      <c r="D24" s="34"/>
      <c r="E24" s="35" t="s">
        <v>20</v>
      </c>
      <c r="F24" s="35"/>
      <c r="G24" s="35"/>
      <c r="H24" s="25" t="s">
        <v>21</v>
      </c>
      <c r="I24" s="29" t="s">
        <v>22</v>
      </c>
      <c r="J24" s="29"/>
      <c r="K24" s="30">
        <v>97000</v>
      </c>
      <c r="L24" s="30"/>
      <c r="M24" s="30"/>
      <c r="N24" s="24">
        <v>5</v>
      </c>
      <c r="O24" s="19" t="s">
        <v>40</v>
      </c>
    </row>
    <row r="25" spans="1:15" ht="24.75" customHeight="1">
      <c r="A25" s="31">
        <v>45859</v>
      </c>
      <c r="B25" s="32"/>
      <c r="C25" s="33" t="s">
        <v>35</v>
      </c>
      <c r="D25" s="34"/>
      <c r="E25" s="35" t="s">
        <v>20</v>
      </c>
      <c r="F25" s="35"/>
      <c r="G25" s="35"/>
      <c r="H25" s="25" t="s">
        <v>21</v>
      </c>
      <c r="I25" s="29" t="s">
        <v>22</v>
      </c>
      <c r="J25" s="29"/>
      <c r="K25" s="30">
        <v>125000</v>
      </c>
      <c r="L25" s="30"/>
      <c r="M25" s="30"/>
      <c r="N25" s="24">
        <v>5</v>
      </c>
      <c r="O25" s="19" t="s">
        <v>40</v>
      </c>
    </row>
    <row r="26" spans="1:15" ht="24.75" customHeight="1">
      <c r="A26" s="31">
        <v>45861</v>
      </c>
      <c r="B26" s="32"/>
      <c r="C26" s="33" t="s">
        <v>36</v>
      </c>
      <c r="D26" s="34"/>
      <c r="E26" s="35" t="s">
        <v>20</v>
      </c>
      <c r="F26" s="35"/>
      <c r="G26" s="35"/>
      <c r="H26" s="25" t="s">
        <v>21</v>
      </c>
      <c r="I26" s="29" t="s">
        <v>22</v>
      </c>
      <c r="J26" s="29"/>
      <c r="K26" s="30">
        <v>85000</v>
      </c>
      <c r="L26" s="30"/>
      <c r="M26" s="30"/>
      <c r="N26" s="22">
        <v>5</v>
      </c>
      <c r="O26" s="19" t="s">
        <v>40</v>
      </c>
    </row>
    <row r="27" spans="1:15" ht="24.75" customHeight="1">
      <c r="A27" s="31">
        <v>45861</v>
      </c>
      <c r="B27" s="32"/>
      <c r="C27" s="33" t="s">
        <v>29</v>
      </c>
      <c r="D27" s="34"/>
      <c r="E27" s="35" t="s">
        <v>37</v>
      </c>
      <c r="F27" s="35"/>
      <c r="G27" s="35"/>
      <c r="H27" s="27" t="s">
        <v>41</v>
      </c>
      <c r="I27" s="29" t="s">
        <v>22</v>
      </c>
      <c r="J27" s="29"/>
      <c r="K27" s="30">
        <v>53700</v>
      </c>
      <c r="L27" s="30"/>
      <c r="M27" s="30"/>
      <c r="N27" s="22">
        <v>18</v>
      </c>
      <c r="O27" s="19" t="s">
        <v>40</v>
      </c>
    </row>
    <row r="28" spans="1:15" ht="24.75" customHeight="1">
      <c r="A28" s="31">
        <v>45862</v>
      </c>
      <c r="B28" s="32"/>
      <c r="C28" s="33" t="s">
        <v>23</v>
      </c>
      <c r="D28" s="34"/>
      <c r="E28" s="35" t="s">
        <v>20</v>
      </c>
      <c r="F28" s="35"/>
      <c r="G28" s="35"/>
      <c r="H28" s="25" t="s">
        <v>21</v>
      </c>
      <c r="I28" s="29" t="s">
        <v>22</v>
      </c>
      <c r="J28" s="29"/>
      <c r="K28" s="30">
        <v>45000</v>
      </c>
      <c r="L28" s="30"/>
      <c r="M28" s="30"/>
      <c r="N28" s="22">
        <v>3</v>
      </c>
      <c r="O28" s="19" t="s">
        <v>40</v>
      </c>
    </row>
    <row r="29" spans="1:15" ht="24.75" customHeight="1">
      <c r="A29" s="31">
        <v>45867</v>
      </c>
      <c r="B29" s="32"/>
      <c r="C29" s="33" t="s">
        <v>38</v>
      </c>
      <c r="D29" s="34"/>
      <c r="E29" s="35" t="s">
        <v>20</v>
      </c>
      <c r="F29" s="35"/>
      <c r="G29" s="35"/>
      <c r="H29" s="25" t="s">
        <v>21</v>
      </c>
      <c r="I29" s="29" t="s">
        <v>22</v>
      </c>
      <c r="J29" s="29"/>
      <c r="K29" s="30">
        <v>98000</v>
      </c>
      <c r="L29" s="30"/>
      <c r="M29" s="30"/>
      <c r="N29" s="22">
        <v>5</v>
      </c>
      <c r="O29" s="19" t="s">
        <v>40</v>
      </c>
    </row>
    <row r="30" spans="1:15" ht="24.75" customHeight="1">
      <c r="A30" s="31">
        <v>45868</v>
      </c>
      <c r="B30" s="32"/>
      <c r="C30" s="33" t="s">
        <v>39</v>
      </c>
      <c r="D30" s="34"/>
      <c r="E30" s="35" t="s">
        <v>20</v>
      </c>
      <c r="F30" s="35"/>
      <c r="G30" s="35"/>
      <c r="H30" s="23" t="s">
        <v>21</v>
      </c>
      <c r="I30" s="29" t="s">
        <v>22</v>
      </c>
      <c r="J30" s="29"/>
      <c r="K30" s="30">
        <v>30000</v>
      </c>
      <c r="L30" s="30"/>
      <c r="M30" s="30"/>
      <c r="N30" s="22">
        <v>2</v>
      </c>
      <c r="O30" s="19" t="s">
        <v>40</v>
      </c>
    </row>
    <row r="31" spans="1:15" ht="24.75" customHeight="1"/>
    <row r="32" spans="1:15" ht="24.75" customHeight="1"/>
    <row r="33" ht="24.75" customHeight="1"/>
    <row r="34" ht="24.75" customHeight="1"/>
  </sheetData>
  <mergeCells count="102">
    <mergeCell ref="K29:M29"/>
    <mergeCell ref="A21:B21"/>
    <mergeCell ref="C21:D21"/>
    <mergeCell ref="E21:G21"/>
    <mergeCell ref="I21:J21"/>
    <mergeCell ref="K21:M21"/>
    <mergeCell ref="A23:B23"/>
    <mergeCell ref="C23:D23"/>
    <mergeCell ref="E23:G23"/>
    <mergeCell ref="I23:J23"/>
    <mergeCell ref="K23:M23"/>
    <mergeCell ref="A22:B22"/>
    <mergeCell ref="C22:D22"/>
    <mergeCell ref="E22:G22"/>
    <mergeCell ref="I22:J22"/>
    <mergeCell ref="K22:M22"/>
    <mergeCell ref="A25:B25"/>
    <mergeCell ref="C25:D25"/>
    <mergeCell ref="E25:G25"/>
    <mergeCell ref="A30:B30"/>
    <mergeCell ref="C30:D30"/>
    <mergeCell ref="E30:G30"/>
    <mergeCell ref="I30:J30"/>
    <mergeCell ref="K30:M30"/>
    <mergeCell ref="A26:B26"/>
    <mergeCell ref="C26:D26"/>
    <mergeCell ref="E26:G26"/>
    <mergeCell ref="I26:J26"/>
    <mergeCell ref="K26:M26"/>
    <mergeCell ref="A27:B27"/>
    <mergeCell ref="C27:D27"/>
    <mergeCell ref="E27:G27"/>
    <mergeCell ref="I27:J27"/>
    <mergeCell ref="K27:M27"/>
    <mergeCell ref="A28:B28"/>
    <mergeCell ref="C28:D28"/>
    <mergeCell ref="E28:G28"/>
    <mergeCell ref="I28:J28"/>
    <mergeCell ref="K28:M28"/>
    <mergeCell ref="A29:B29"/>
    <mergeCell ref="C29:D29"/>
    <mergeCell ref="E29:G29"/>
    <mergeCell ref="I29:J29"/>
    <mergeCell ref="K14:M14"/>
    <mergeCell ref="A15:B15"/>
    <mergeCell ref="I15:J15"/>
    <mergeCell ref="A17:B17"/>
    <mergeCell ref="I17:J17"/>
    <mergeCell ref="C14:D14"/>
    <mergeCell ref="C15:D15"/>
    <mergeCell ref="C17:D17"/>
    <mergeCell ref="E17:G17"/>
    <mergeCell ref="K15:M15"/>
    <mergeCell ref="E14:G14"/>
    <mergeCell ref="E15:G15"/>
    <mergeCell ref="A16:B16"/>
    <mergeCell ref="C16:D16"/>
    <mergeCell ref="E16:G16"/>
    <mergeCell ref="I16:J16"/>
    <mergeCell ref="K16:M16"/>
    <mergeCell ref="A14:B14"/>
    <mergeCell ref="I14:J14"/>
    <mergeCell ref="K13:O13"/>
    <mergeCell ref="B10:D10"/>
    <mergeCell ref="B9:D9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  <mergeCell ref="A12:O12"/>
    <mergeCell ref="K17:M17"/>
    <mergeCell ref="A20:B20"/>
    <mergeCell ref="C20:D20"/>
    <mergeCell ref="E20:G20"/>
    <mergeCell ref="I20:J20"/>
    <mergeCell ref="K20:M20"/>
    <mergeCell ref="A19:B19"/>
    <mergeCell ref="C19:D19"/>
    <mergeCell ref="E19:G19"/>
    <mergeCell ref="I19:J19"/>
    <mergeCell ref="K19:M19"/>
    <mergeCell ref="I25:J25"/>
    <mergeCell ref="K25:M25"/>
    <mergeCell ref="A24:B24"/>
    <mergeCell ref="C24:D24"/>
    <mergeCell ref="E24:G24"/>
    <mergeCell ref="I24:J24"/>
    <mergeCell ref="K24:M24"/>
    <mergeCell ref="A18:B18"/>
    <mergeCell ref="C18:D18"/>
    <mergeCell ref="E18:G18"/>
    <mergeCell ref="I18:J18"/>
    <mergeCell ref="K18:M18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2025-10-10T08:10:02Z</dcterms:modified>
</cp:coreProperties>
</file>