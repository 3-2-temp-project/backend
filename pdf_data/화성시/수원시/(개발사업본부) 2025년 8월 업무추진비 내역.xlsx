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_행정\03_서무\06_업무추진비\"/>
    </mc:Choice>
  </mc:AlternateContent>
  <bookViews>
    <workbookView xWindow="-120" yWindow="-120" windowWidth="38640" windowHeight="21240"/>
  </bookViews>
  <sheets>
    <sheet name="업무추진비 내역" sheetId="25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5" l="1"/>
  <c r="A10" i="25" l="1"/>
  <c r="F10" i="25"/>
  <c r="B10" i="25" l="1"/>
</calcChain>
</file>

<file path=xl/sharedStrings.xml><?xml version="1.0" encoding="utf-8"?>
<sst xmlns="http://schemas.openxmlformats.org/spreadsheetml/2006/main" count="36" uniqueCount="28">
  <si>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</si>
  <si>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</si>
  <si>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</si>
  <si>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</si>
  <si>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</si>
  <si>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</si>
  <si>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</si>
  <si>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</si>
  <si>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금 액</t>
    <phoneticPr fontId="1" type="noConversion"/>
  </si>
  <si>
    <t>집행대상</t>
    <phoneticPr fontId="2" type="noConversion"/>
  </si>
  <si>
    <t>집행구분</t>
    <phoneticPr fontId="2" type="noConversion"/>
  </si>
  <si>
    <t>(단위 : 건/원)</t>
    <phoneticPr fontId="2" type="noConversion"/>
  </si>
  <si>
    <t>대상인원(명)</t>
    <phoneticPr fontId="17" type="noConversion"/>
  </si>
  <si>
    <t>집행유형(내역)</t>
  </si>
  <si>
    <t>장소</t>
    <phoneticPr fontId="17" type="noConversion"/>
  </si>
  <si>
    <t>금 액</t>
  </si>
  <si>
    <t>사용방법</t>
    <phoneticPr fontId="2" type="noConversion"/>
  </si>
  <si>
    <t>기   타</t>
    <phoneticPr fontId="17" type="noConversion"/>
  </si>
  <si>
    <t>건</t>
    <phoneticPr fontId="17" type="noConversion"/>
  </si>
  <si>
    <t>집행액(원)</t>
    <phoneticPr fontId="2" type="noConversion"/>
  </si>
  <si>
    <t>관계기관 업무협의</t>
    <phoneticPr fontId="17" type="noConversion"/>
  </si>
  <si>
    <t>업무협의</t>
    <phoneticPr fontId="17" type="noConversion"/>
  </si>
  <si>
    <t>개발사업본부</t>
    <phoneticPr fontId="17" type="noConversion"/>
  </si>
  <si>
    <t xml:space="preserve">□ 6월 집행내역 총괄 </t>
    <phoneticPr fontId="1" type="noConversion"/>
  </si>
  <si>
    <t>이디야커피</t>
    <phoneticPr fontId="17" type="noConversion"/>
  </si>
  <si>
    <t>2025년 8월 업무추진비 집행내역(개발사업본부)</t>
    <phoneticPr fontId="1" type="noConversion"/>
  </si>
  <si>
    <t>더 깨끗하고 투명한 행정으로 "청렴 도시 수원"을 만들어 가고자
2025년  8월 중 (개발사업본부)에서 사용한 업무추진비 집행내역을 공개합니다.</t>
    <phoneticPr fontId="1" type="noConversion"/>
  </si>
  <si>
    <t>보약족발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</si>
</sst>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.5"/>
      <name val="Arial Narrow"/>
      <family val="2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sz val="11"/>
      <color rgb="FF000000"/>
      <name val="한양중고딕,한컴돋움"/>
      <family val="3"/>
      <charset val="129"/>
    </font>
    <font>
      <sz val="11"/>
      <color theme="1"/>
      <name val="Arial Narrow"/>
      <family val="2"/>
    </font>
    <font>
      <sz val="11"/>
      <color rgb="FF333333"/>
      <name val="Arial Narrow"/>
      <family val="2"/>
    </font>
    <font>
      <sz val="11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6" fillId="2" borderId="9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9" fillId="2" borderId="11" xfId="0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shrinkToFit="1"/>
    </xf>
    <xf numFmtId="41" fontId="3" fillId="0" borderId="11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41" fontId="3" fillId="0" borderId="10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41" fontId="3" fillId="0" borderId="10" xfId="1" applyFont="1" applyBorder="1" applyAlignment="1">
      <alignment vertical="center" shrinkToFit="1"/>
    </xf>
    <xf numFmtId="41" fontId="3" fillId="0" borderId="16" xfId="1" applyFont="1" applyBorder="1" applyAlignment="1">
      <alignment vertical="center" shrinkToFit="1"/>
    </xf>
    <xf numFmtId="0" fontId="0" fillId="2" borderId="6" xfId="0" applyFill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14" fontId="11" fillId="0" borderId="17" xfId="0" applyNumberFormat="1" applyFont="1" applyBorder="1" applyAlignment="1">
      <alignment horizontal="center" vertical="center"/>
    </xf>
    <xf numFmtId="14" fontId="11" fillId="0" borderId="18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 shrinkToFit="1"/>
    </xf>
    <xf numFmtId="0" fontId="12" fillId="0" borderId="18" xfId="0" applyFont="1" applyBorder="1" applyAlignment="1">
      <alignment horizontal="center" vertical="center" wrapText="1" shrinkToFit="1"/>
    </xf>
    <xf numFmtId="0" fontId="12" fillId="0" borderId="16" xfId="0" applyFont="1" applyBorder="1" applyAlignment="1">
      <alignment horizontal="center" vertical="center" wrapText="1" shrinkToFit="1"/>
    </xf>
    <xf numFmtId="0" fontId="12" fillId="0" borderId="16" xfId="0" applyFont="1" applyBorder="1" applyAlignment="1">
      <alignment horizontal="center" vertical="center" shrinkToFit="1"/>
    </xf>
    <xf numFmtId="41" fontId="10" fillId="0" borderId="16" xfId="1" applyFont="1" applyBorder="1" applyAlignment="1">
      <alignment horizontal="center" vertical="center" shrinkToFit="1"/>
    </xf>
    <xf numFmtId="0" fontId="14" fillId="0" borderId="0" xfId="0" applyFont="1" applyAlignment="1">
      <alignment horizontal="left" vertical="center"/>
    </xf>
    <xf numFmtId="0" fontId="0" fillId="2" borderId="5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16" fillId="0" borderId="8" xfId="0" applyFont="1" applyBorder="1" applyAlignment="1">
      <alignment horizontal="right" vertical="center" wrapText="1"/>
    </xf>
    <xf numFmtId="41" fontId="3" fillId="0" borderId="10" xfId="1" applyFont="1" applyBorder="1" applyAlignment="1">
      <alignment horizontal="center" vertical="center" shrinkToFit="1"/>
    </xf>
    <xf numFmtId="41" fontId="3" fillId="0" borderId="13" xfId="1" applyFont="1" applyBorder="1" applyAlignment="1">
      <alignment horizontal="center" vertical="center" shrinkToFit="1"/>
    </xf>
    <xf numFmtId="41" fontId="3" fillId="0" borderId="12" xfId="1" applyFont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 shrinkToFit="1"/>
    </xf>
    <xf numFmtId="0" fontId="13" fillId="3" borderId="3" xfId="0" applyFont="1" applyFill="1" applyBorder="1" applyAlignment="1">
      <alignment horizontal="center" vertical="center" wrapText="1" shrinkToFit="1"/>
    </xf>
    <xf numFmtId="0" fontId="13" fillId="3" borderId="4" xfId="0" applyFont="1" applyFill="1" applyBorder="1" applyAlignment="1">
      <alignment horizontal="center" vertical="center" wrapText="1" shrinkToFit="1"/>
    </xf>
    <xf numFmtId="0" fontId="15" fillId="0" borderId="0" xfId="0" applyFont="1" applyAlignment="1">
      <alignment horizontal="right" vertical="center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 shrinkToFi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41" fontId="3" fillId="0" borderId="16" xfId="1" applyFont="1" applyBorder="1" applyAlignment="1">
      <alignment horizontal="center" vertical="center" shrinkToFit="1"/>
    </xf>
    <xf numFmtId="41" fontId="3" fillId="0" borderId="17" xfId="1" applyFont="1" applyBorder="1" applyAlignment="1">
      <alignment horizontal="center" vertical="center" shrinkToFit="1"/>
    </xf>
    <xf numFmtId="41" fontId="3" fillId="0" borderId="18" xfId="1" applyFont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topLeftCell="A2" zoomScale="130" zoomScaleNormal="130" workbookViewId="0">
      <selection activeCell="D18" sqref="D18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10.75" customWidth="1"/>
    <col min="5" max="5" width="7.625" style="1" customWidth="1"/>
    <col min="6" max="6" width="9.625" customWidth="1"/>
    <col min="7" max="7" width="6.375" style="1" customWidth="1"/>
    <col min="8" max="8" width="10.25" customWidth="1"/>
    <col min="9" max="9" width="7.25" customWidth="1"/>
    <col min="10" max="10" width="12.125" customWidth="1"/>
    <col min="11" max="11" width="4.125" customWidth="1"/>
    <col min="12" max="12" width="1.375" customWidth="1"/>
    <col min="13" max="13" width="6.875" customWidth="1"/>
    <col min="14" max="14" width="10.75" customWidth="1"/>
    <col min="15" max="15" width="8.375" customWidth="1"/>
    <col min="17" max="17" width="11.375" bestFit="1" customWidth="1"/>
  </cols>
  <sheetData>
    <row r="1" spans="1:15" ht="30" customHeight="1">
      <c r="A1" s="42" t="s">
        <v>25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6.75" customHeight="1">
      <c r="A2" s="6"/>
      <c r="B2" s="6"/>
      <c r="C2" s="8"/>
      <c r="D2" s="8"/>
      <c r="E2" s="6"/>
      <c r="F2" s="8"/>
      <c r="G2" s="6"/>
      <c r="H2" s="8"/>
      <c r="I2" s="8"/>
      <c r="J2" s="8"/>
      <c r="K2" s="8"/>
      <c r="L2" s="8"/>
      <c r="M2" s="8"/>
      <c r="N2" s="8"/>
      <c r="O2" s="8"/>
    </row>
    <row r="3" spans="1:15" ht="39.75" customHeight="1">
      <c r="A3" s="43" t="s">
        <v>26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1:15" ht="23.25" hidden="1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ht="13.5" customHeight="1">
      <c r="A5" s="5"/>
      <c r="B5" s="5"/>
      <c r="C5" s="5"/>
      <c r="D5" s="5"/>
      <c r="E5" s="5"/>
      <c r="F5" s="5"/>
      <c r="G5" s="5"/>
      <c r="H5" s="5"/>
    </row>
    <row r="6" spans="1:15" ht="23.1" customHeight="1">
      <c r="A6" s="31" t="s">
        <v>23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</row>
    <row r="7" spans="1:15" ht="15" customHeight="1">
      <c r="A7" s="46" t="s">
        <v>11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ht="20.100000000000001" customHeight="1">
      <c r="A8" s="47" t="s">
        <v>1</v>
      </c>
      <c r="B8" s="48"/>
      <c r="C8" s="48"/>
      <c r="D8" s="4"/>
      <c r="E8" s="47" t="s">
        <v>5</v>
      </c>
      <c r="F8" s="49"/>
      <c r="G8" s="47" t="s">
        <v>6</v>
      </c>
      <c r="H8" s="50"/>
      <c r="I8" s="53" t="s">
        <v>7</v>
      </c>
      <c r="J8" s="53"/>
      <c r="K8" s="53"/>
      <c r="L8" s="53"/>
      <c r="M8" s="51" t="s">
        <v>17</v>
      </c>
      <c r="N8" s="51"/>
      <c r="O8" s="52"/>
    </row>
    <row r="9" spans="1:15" ht="20.100000000000001" customHeight="1">
      <c r="A9" s="12" t="s">
        <v>3</v>
      </c>
      <c r="B9" s="39" t="s">
        <v>4</v>
      </c>
      <c r="C9" s="40"/>
      <c r="D9" s="41"/>
      <c r="E9" s="9" t="s">
        <v>3</v>
      </c>
      <c r="F9" s="12" t="s">
        <v>4</v>
      </c>
      <c r="G9" s="9" t="s">
        <v>3</v>
      </c>
      <c r="H9" s="12" t="s">
        <v>4</v>
      </c>
      <c r="I9" s="20" t="s">
        <v>3</v>
      </c>
      <c r="J9" s="54" t="s">
        <v>8</v>
      </c>
      <c r="K9" s="54"/>
      <c r="L9" s="54"/>
      <c r="M9" s="20" t="s">
        <v>18</v>
      </c>
      <c r="N9" s="54" t="s">
        <v>15</v>
      </c>
      <c r="O9" s="54"/>
    </row>
    <row r="10" spans="1:15" ht="30" customHeight="1">
      <c r="A10" s="13">
        <f>E10</f>
        <v>2</v>
      </c>
      <c r="B10" s="36">
        <f>F10</f>
        <v>344000</v>
      </c>
      <c r="C10" s="37"/>
      <c r="D10" s="38"/>
      <c r="E10" s="11">
        <f>COUNT(K15:M19)</f>
        <v>2</v>
      </c>
      <c r="F10" s="14">
        <f>SUM(K15:M31)</f>
        <v>344000</v>
      </c>
      <c r="G10" s="13"/>
      <c r="H10" s="15"/>
      <c r="I10" s="16"/>
      <c r="J10" s="55">
        <v>0</v>
      </c>
      <c r="K10" s="55"/>
      <c r="L10" s="55"/>
      <c r="M10" s="16">
        <v>0</v>
      </c>
      <c r="N10" s="56"/>
      <c r="O10" s="57"/>
    </row>
    <row r="11" spans="1:15" ht="20.10000000000000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s="1" customFormat="1" ht="24.95" customHeight="1">
      <c r="A12" s="31" t="s">
        <v>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</row>
    <row r="13" spans="1:15" s="1" customFormat="1" ht="15" customHeight="1">
      <c r="A13" s="7"/>
      <c r="B13" s="7"/>
      <c r="C13" s="3"/>
      <c r="D13" s="3"/>
      <c r="E13" s="7"/>
      <c r="F13" s="3"/>
      <c r="G13" s="7"/>
      <c r="H13" s="3"/>
      <c r="I13" s="3"/>
      <c r="J13" s="3"/>
      <c r="K13" s="35"/>
      <c r="L13" s="35"/>
      <c r="M13" s="35"/>
      <c r="N13" s="35"/>
      <c r="O13" s="35"/>
    </row>
    <row r="14" spans="1:15" s="2" customFormat="1" ht="30" customHeight="1">
      <c r="A14" s="32" t="s">
        <v>2</v>
      </c>
      <c r="B14" s="33"/>
      <c r="C14" s="32" t="s">
        <v>14</v>
      </c>
      <c r="D14" s="34"/>
      <c r="E14" s="33" t="s">
        <v>13</v>
      </c>
      <c r="F14" s="33"/>
      <c r="G14" s="34"/>
      <c r="H14" s="10" t="s">
        <v>10</v>
      </c>
      <c r="I14" s="32" t="s">
        <v>9</v>
      </c>
      <c r="J14" s="34"/>
      <c r="K14" s="32" t="s">
        <v>19</v>
      </c>
      <c r="L14" s="33"/>
      <c r="M14" s="34"/>
      <c r="N14" s="17" t="s">
        <v>12</v>
      </c>
      <c r="O14" s="10" t="s">
        <v>16</v>
      </c>
    </row>
    <row r="15" spans="1:15" s="2" customFormat="1" ht="24.75" customHeight="1">
      <c r="A15" s="24">
        <v>45874</v>
      </c>
      <c r="B15" s="25"/>
      <c r="C15" s="26" t="s">
        <v>24</v>
      </c>
      <c r="D15" s="27"/>
      <c r="E15" s="28" t="s">
        <v>20</v>
      </c>
      <c r="F15" s="28"/>
      <c r="G15" s="28"/>
      <c r="H15" s="21" t="s">
        <v>21</v>
      </c>
      <c r="I15" s="29" t="s">
        <v>22</v>
      </c>
      <c r="J15" s="29"/>
      <c r="K15" s="30">
        <v>164000</v>
      </c>
      <c r="L15" s="30"/>
      <c r="M15" s="30"/>
      <c r="N15" s="18">
        <v>8</v>
      </c>
      <c r="O15" s="19"/>
    </row>
    <row r="16" spans="1:15" ht="24.75" customHeight="1">
      <c r="A16" s="24">
        <v>45880</v>
      </c>
      <c r="B16" s="25"/>
      <c r="C16" s="26" t="s">
        <v>27</v>
      </c>
      <c r="D16" s="27"/>
      <c r="E16" s="28" t="s">
        <v>20</v>
      </c>
      <c r="F16" s="28"/>
      <c r="G16" s="28"/>
      <c r="H16" s="23" t="s">
        <v>21</v>
      </c>
      <c r="I16" s="29" t="s">
        <v>22</v>
      </c>
      <c r="J16" s="29"/>
      <c r="K16" s="30">
        <v>180000</v>
      </c>
      <c r="L16" s="30"/>
      <c r="M16" s="30"/>
      <c r="N16" s="22">
        <v>6</v>
      </c>
      <c r="O16" s="19"/>
    </row>
  </sheetData>
  <mergeCells count="32">
    <mergeCell ref="K13:O13"/>
    <mergeCell ref="B10:D10"/>
    <mergeCell ref="B9:D9"/>
    <mergeCell ref="A1:O1"/>
    <mergeCell ref="A3:O3"/>
    <mergeCell ref="A6:O6"/>
    <mergeCell ref="A7:O7"/>
    <mergeCell ref="A8:C8"/>
    <mergeCell ref="E8:F8"/>
    <mergeCell ref="G8:H8"/>
    <mergeCell ref="M8:O8"/>
    <mergeCell ref="I8:L8"/>
    <mergeCell ref="N9:O9"/>
    <mergeCell ref="J9:L9"/>
    <mergeCell ref="J10:L10"/>
    <mergeCell ref="N10:O10"/>
    <mergeCell ref="A12:O12"/>
    <mergeCell ref="A14:B14"/>
    <mergeCell ref="I14:J14"/>
    <mergeCell ref="K14:M14"/>
    <mergeCell ref="A15:B15"/>
    <mergeCell ref="I15:J15"/>
    <mergeCell ref="C14:D14"/>
    <mergeCell ref="C15:D15"/>
    <mergeCell ref="K15:M15"/>
    <mergeCell ref="E14:G14"/>
    <mergeCell ref="E15:G15"/>
    <mergeCell ref="A16:B16"/>
    <mergeCell ref="C16:D16"/>
    <mergeCell ref="E16:G16"/>
    <mergeCell ref="I16:J16"/>
    <mergeCell ref="K16:M16"/>
  </mergeCells>
  <phoneticPr fontId="17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2025-10-10T08:11:14Z</dcterms:modified>
</cp:coreProperties>
</file>