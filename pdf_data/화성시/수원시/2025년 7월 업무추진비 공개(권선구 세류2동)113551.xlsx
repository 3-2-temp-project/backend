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3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김수인\예산.회계\업무추진비 집행내역 공개\"/>
    </mc:Choice>
  </mc:AlternateContent>
  <xr:revisionPtr revIDLastSave="0" documentId="13_ncr:1_{C6C008F7-51AF-47AB-A12A-0DE2EB62FC51}" xr6:coauthVersionLast="36" xr6:coauthVersionMax="47" xr10:uidLastSave="{00000000-0000-0000-0000-000000000000}"/>
  <bookViews>
    <workbookView xWindow="0" yWindow="0" windowWidth="28800" windowHeight="12180" xr2:uid="{00000000-000D-0000-FFFF-FFFF00000000}"/>
  </bookViews>
  <sheets>
    <sheet name="사용내역" sheetId="7" r:id="rId1"/>
    <sheet name="Sheet1" sheetId="9" r:id="rId2"/>
    <sheet name="data카피" sheetId="8" state="hidden" r:id="rId3"/>
  </sheets>
  <definedNames>
    <definedName name="_xlnm._FilterDatabase" localSheetId="2" hidden="1">data카피!$A$2:$AL$2</definedName>
    <definedName name="_xlnm._FilterDatabase" localSheetId="0" hidden="1">사용내역!$A$13:$K$14</definedName>
    <definedName name="_xlnm.Print_Area" localSheetId="0">사용내역!$A$1:$K$14</definedName>
  </definedNames>
  <calcPr calcId="191029"/>
</workbook>
</file>

<file path=xl/calcChain.xml><?xml version="1.0" encoding="utf-8"?>
<calcChain xmlns="http://schemas.openxmlformats.org/spreadsheetml/2006/main">
  <c r="J14" i="7" l="1"/>
  <c r="I9" i="7"/>
  <c r="G9" i="7"/>
  <c r="E9" i="7"/>
  <c r="B9" i="7"/>
</calcChain>
</file>

<file path=xl/sharedStrings.xml><?xml version="1.0" encoding="utf-8"?>
<sst xmlns="http://schemas.openxmlformats.org/spreadsheetml/2006/main" count="210" uniqueCount="110">
  <si>
    <t>기타</t>
  </si>
  <si>
    <t>집  행  일</t>
    <phoneticPr fontId="1" type="noConversion"/>
  </si>
  <si>
    <t>집행구분</t>
    <phoneticPr fontId="1" type="noConversion"/>
  </si>
  <si>
    <t>집행액</t>
    <phoneticPr fontId="1" type="noConversion"/>
  </si>
  <si>
    <t>합  계</t>
    <phoneticPr fontId="2" type="noConversion"/>
  </si>
  <si>
    <t>건</t>
    <phoneticPr fontId="2" type="noConversion"/>
  </si>
  <si>
    <t>금액</t>
    <phoneticPr fontId="2" type="noConversion"/>
  </si>
  <si>
    <t>회의 및 간담회</t>
    <phoneticPr fontId="1" type="noConversion"/>
  </si>
  <si>
    <t>경조사 및 직원격려</t>
    <phoneticPr fontId="2" type="noConversion"/>
  </si>
  <si>
    <t>건</t>
    <phoneticPr fontId="2" type="noConversion"/>
  </si>
  <si>
    <t>금액</t>
    <phoneticPr fontId="1" type="noConversion"/>
  </si>
  <si>
    <t>기념품 등 구입</t>
    <phoneticPr fontId="2" type="noConversion"/>
  </si>
  <si>
    <t>건</t>
    <phoneticPr fontId="2" type="noConversion"/>
  </si>
  <si>
    <t>회계구분</t>
  </si>
  <si>
    <t>부서명</t>
  </si>
  <si>
    <t>사업명</t>
  </si>
  <si>
    <t>통계목</t>
  </si>
  <si>
    <t>적요</t>
  </si>
  <si>
    <t>품의정보</t>
  </si>
  <si>
    <t>원인정보</t>
  </si>
  <si>
    <t>결의정보</t>
  </si>
  <si>
    <t>지급정보</t>
  </si>
  <si>
    <t>품의유형</t>
  </si>
  <si>
    <t>계약대장관리번호</t>
  </si>
  <si>
    <t>품의번호</t>
  </si>
  <si>
    <t>품의일자</t>
  </si>
  <si>
    <t>품의금액</t>
  </si>
  <si>
    <t>품의상태</t>
  </si>
  <si>
    <t>발의일자</t>
  </si>
  <si>
    <t>거래처명</t>
  </si>
  <si>
    <t>차액(품의액-원인행위액)</t>
  </si>
  <si>
    <t>원인번호</t>
  </si>
  <si>
    <t>원인행위일</t>
  </si>
  <si>
    <t>원인금액</t>
  </si>
  <si>
    <t>원인상태</t>
  </si>
  <si>
    <t>원인요청일</t>
  </si>
  <si>
    <t>원인구분</t>
  </si>
  <si>
    <t>결의일자</t>
  </si>
  <si>
    <t>결의금액</t>
  </si>
  <si>
    <t>결의상태</t>
  </si>
  <si>
    <t>결의요청일</t>
  </si>
  <si>
    <t>결의구분</t>
  </si>
  <si>
    <t>지급일자</t>
  </si>
  <si>
    <t>지급명령번호</t>
  </si>
  <si>
    <t>지급상태</t>
  </si>
  <si>
    <t>담당자</t>
  </si>
  <si>
    <t>승인자</t>
  </si>
  <si>
    <t xml:space="preserve">담당자 </t>
  </si>
  <si>
    <t>합계</t>
  </si>
  <si>
    <t>일반회계</t>
  </si>
  <si>
    <t>기본경비</t>
  </si>
  <si>
    <t>품의-완료</t>
  </si>
  <si>
    <t>원인행위-확정</t>
  </si>
  <si>
    <t>일반지출</t>
  </si>
  <si>
    <t>결의-결의확정</t>
  </si>
  <si>
    <t>지급명령-이체승인</t>
  </si>
  <si>
    <t>일반</t>
  </si>
  <si>
    <t>모지혜</t>
  </si>
  <si>
    <t>부서운영업무추진비</t>
  </si>
  <si>
    <t>권선구행정지원과</t>
  </si>
  <si>
    <t>석은숙</t>
  </si>
  <si>
    <t>유원종</t>
  </si>
  <si>
    <t>사용장소</t>
    <phoneticPr fontId="2" type="noConversion"/>
  </si>
  <si>
    <t>사용목적(내역)</t>
    <phoneticPr fontId="1" type="noConversion"/>
  </si>
  <si>
    <t>집행대상(인원)</t>
    <phoneticPr fontId="1" type="noConversion"/>
  </si>
  <si>
    <t>사용방법</t>
    <phoneticPr fontId="2" type="noConversion"/>
  </si>
  <si>
    <t>직원격려 급식제공</t>
  </si>
  <si>
    <t>명륜진사갈비 권선구청점</t>
  </si>
  <si>
    <t>00000142</t>
  </si>
  <si>
    <t>00000146</t>
  </si>
  <si>
    <t>직원격려 급식제공 건의</t>
  </si>
  <si>
    <t>삼대째손두부 오목천점</t>
  </si>
  <si>
    <t>00000175</t>
  </si>
  <si>
    <t>00000178</t>
  </si>
  <si>
    <t>직원 격려 급식 제공 건의</t>
  </si>
  <si>
    <t>소반가강릉해변막국수</t>
  </si>
  <si>
    <t>00000197</t>
  </si>
  <si>
    <t>00000188</t>
  </si>
  <si>
    <t>정원가산업무추진비</t>
  </si>
  <si>
    <t>직원 격려 간식 제공 건의</t>
  </si>
  <si>
    <t>정수농장외 1</t>
  </si>
  <si>
    <t>00000167</t>
  </si>
  <si>
    <t>□ 세부집행내역</t>
    <phoneticPr fontId="2" type="noConversion"/>
  </si>
  <si>
    <t>(단위 : 원)</t>
    <phoneticPr fontId="2" type="noConversion"/>
  </si>
  <si>
    <t>(단위 : 건/원)</t>
    <phoneticPr fontId="2" type="noConversion"/>
  </si>
  <si>
    <t>금액</t>
  </si>
  <si>
    <t>직원격려</t>
    <phoneticPr fontId="1" type="noConversion"/>
  </si>
  <si>
    <t>신용카드</t>
    <phoneticPr fontId="1" type="noConversion"/>
  </si>
  <si>
    <t>2025. 7월 업무추진비 공개(권선구 세류2동)</t>
    <phoneticPr fontId="1" type="noConversion"/>
  </si>
  <si>
    <r>
      <t xml:space="preserve">   더 깨끗하고 투명한 행정으로</t>
    </r>
    <r>
      <rPr>
        <sz val="14"/>
        <color indexed="8"/>
        <rFont val="맑은 고딕"/>
        <family val="3"/>
        <charset val="129"/>
      </rPr>
      <t xml:space="preserve"> "청렴 도시 수원"을 만들어가고자 2025. 7월중 권선구 세류2동장이 사용한 업무추진비 집행내역을 공개합니다.</t>
    </r>
    <phoneticPr fontId="1" type="noConversion"/>
  </si>
  <si>
    <t>□7월 집행내역 총괄</t>
    <phoneticPr fontId="2" type="noConversion"/>
  </si>
  <si>
    <t>주민총회 관련 단체장 간담회 추진에 따른 식사 제공</t>
    <phoneticPr fontId="1" type="noConversion"/>
  </si>
  <si>
    <t>단체장 간담회 추진에 따른 식사제공</t>
    <phoneticPr fontId="1" type="noConversion"/>
  </si>
  <si>
    <t>주민자치위원 격려 간식 제공</t>
    <phoneticPr fontId="1" type="noConversion"/>
  </si>
  <si>
    <t>직원 생일기념품(커피상품권) 구입</t>
    <phoneticPr fontId="1" type="noConversion"/>
  </si>
  <si>
    <t>직원 격려 급식 제공</t>
  </si>
  <si>
    <t>기념품</t>
    <phoneticPr fontId="1" type="noConversion"/>
  </si>
  <si>
    <t>석산정</t>
    <phoneticPr fontId="1" type="noConversion"/>
  </si>
  <si>
    <t>대풍숯불갈비</t>
    <phoneticPr fontId="1" type="noConversion"/>
  </si>
  <si>
    <t>컴포즈커피 수원세류역점</t>
    <phoneticPr fontId="1" type="noConversion"/>
  </si>
  <si>
    <t>스타벅스 코리아</t>
    <phoneticPr fontId="1" type="noConversion"/>
  </si>
  <si>
    <t>비에이치씨 세류점</t>
    <phoneticPr fontId="1" type="noConversion"/>
  </si>
  <si>
    <t>세류2동장 및 주민자치회위원 등 4명</t>
    <phoneticPr fontId="1" type="noConversion"/>
  </si>
  <si>
    <t>세류2동장 및 단체장협의회장 등 8명</t>
    <phoneticPr fontId="1" type="noConversion"/>
  </si>
  <si>
    <t>세류2동장 및 단체장협의회장 등 3명</t>
    <phoneticPr fontId="1" type="noConversion"/>
  </si>
  <si>
    <t>세류2동장 및 주민자치회위원 등 7명</t>
    <phoneticPr fontId="1" type="noConversion"/>
  </si>
  <si>
    <t>한0우, 장0훈, 변0호, 나0경</t>
    <phoneticPr fontId="1" type="noConversion"/>
  </si>
  <si>
    <t>세류2동장 및 직원 등 21명</t>
    <phoneticPr fontId="1" type="noConversion"/>
  </si>
  <si>
    <t>세류2동장 및 직원 등 19명</t>
    <phoneticPr fontId="1" type="noConversion"/>
  </si>
  <si>
    <t>주민자치회위원 격려 급식 제공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</si>
</sst>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_-* #,##0.0_-;\-* #,##0.0_-;_-* &quot;-&quot;_-;_-@_-"/>
    <numFmt numFmtId="177" formatCode="#,##0_);[Red]\(#,##0\)"/>
  </numFmts>
  <fonts count="1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돋움"/>
      <family val="3"/>
      <charset val="129"/>
    </font>
    <font>
      <sz val="8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20"/>
      <color rgb="FF00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6"/>
      <color rgb="FF00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color indexed="0"/>
      <name val="맑은 고딕"/>
      <family val="3"/>
      <charset val="129"/>
    </font>
    <font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4"/>
      <color rgb="FF000000"/>
      <name val="맑은 고딕"/>
      <family val="3"/>
      <charset val="129"/>
    </font>
    <font>
      <sz val="14"/>
      <color indexed="8"/>
      <name val="맑은 고딕"/>
      <family val="3"/>
      <charset val="129"/>
    </font>
    <font>
      <sz val="12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3E9F8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8C8C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3" fillId="4" borderId="10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left" vertical="center"/>
    </xf>
    <xf numFmtId="0" fontId="5" fillId="0" borderId="10" xfId="0" applyFont="1" applyFill="1" applyBorder="1" applyAlignment="1">
      <alignment horizontal="right" vertical="center"/>
    </xf>
    <xf numFmtId="0" fontId="5" fillId="0" borderId="10" xfId="0" applyFont="1" applyFill="1" applyBorder="1" applyAlignment="1">
      <alignment horizontal="center" vertical="center"/>
    </xf>
    <xf numFmtId="3" fontId="5" fillId="0" borderId="10" xfId="0" applyNumberFormat="1" applyFont="1" applyFill="1" applyBorder="1" applyAlignment="1">
      <alignment horizontal="right" vertical="center"/>
    </xf>
    <xf numFmtId="14" fontId="5" fillId="0" borderId="10" xfId="0" applyNumberFormat="1" applyFont="1" applyFill="1" applyBorder="1" applyAlignment="1">
      <alignment horizontal="center" vertical="center"/>
    </xf>
    <xf numFmtId="0" fontId="5" fillId="0" borderId="10" xfId="0" quotePrefix="1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 shrinkToFit="1"/>
    </xf>
    <xf numFmtId="0" fontId="0" fillId="0" borderId="0" xfId="0" applyFont="1">
      <alignment vertical="center"/>
    </xf>
    <xf numFmtId="0" fontId="0" fillId="0" borderId="0" xfId="0" applyFont="1" applyFill="1" applyAlignment="1">
      <alignment horizontal="center" vertical="center" shrinkToFit="1"/>
    </xf>
    <xf numFmtId="0" fontId="6" fillId="0" borderId="0" xfId="0" applyFont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7" fillId="0" borderId="0" xfId="0" applyFont="1" applyBorder="1" applyAlignment="1">
      <alignment horizontal="center" vertical="center" shrinkToFit="1"/>
    </xf>
    <xf numFmtId="177" fontId="9" fillId="0" borderId="1" xfId="0" applyNumberFormat="1" applyFont="1" applyBorder="1" applyAlignment="1">
      <alignment vertical="center" shrinkToFit="1"/>
    </xf>
    <xf numFmtId="177" fontId="9" fillId="0" borderId="1" xfId="0" quotePrefix="1" applyNumberFormat="1" applyFont="1" applyBorder="1" applyAlignment="1">
      <alignment vertical="center" shrinkToFit="1"/>
    </xf>
    <xf numFmtId="0" fontId="0" fillId="0" borderId="0" xfId="0" applyFont="1" applyAlignment="1">
      <alignment vertical="center"/>
    </xf>
    <xf numFmtId="176" fontId="0" fillId="0" borderId="0" xfId="0" applyNumberFormat="1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shrinkToFit="1"/>
    </xf>
    <xf numFmtId="177" fontId="16" fillId="0" borderId="0" xfId="0" applyNumberFormat="1" applyFont="1" applyBorder="1" applyAlignment="1">
      <alignment vertical="center" shrinkToFit="1"/>
    </xf>
    <xf numFmtId="177" fontId="15" fillId="0" borderId="0" xfId="0" applyNumberFormat="1" applyFont="1" applyBorder="1" applyAlignment="1">
      <alignment horizontal="center" vertical="center"/>
    </xf>
    <xf numFmtId="177" fontId="16" fillId="0" borderId="0" xfId="0" quotePrefix="1" applyNumberFormat="1" applyFont="1" applyBorder="1" applyAlignment="1">
      <alignment vertical="center" shrinkToFit="1"/>
    </xf>
    <xf numFmtId="0" fontId="7" fillId="2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wrapText="1"/>
    </xf>
    <xf numFmtId="177" fontId="11" fillId="0" borderId="1" xfId="0" applyNumberFormat="1" applyFont="1" applyFill="1" applyBorder="1" applyAlignment="1">
      <alignment horizontal="center" vertical="center" shrinkToFit="1"/>
    </xf>
    <xf numFmtId="0" fontId="11" fillId="0" borderId="1" xfId="0" applyFont="1" applyFill="1" applyBorder="1" applyAlignment="1">
      <alignment horizontal="center" vertical="center" shrinkToFit="1"/>
    </xf>
    <xf numFmtId="3" fontId="0" fillId="0" borderId="1" xfId="0" applyNumberFormat="1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0" xfId="0" applyFont="1" applyBorder="1">
      <alignment vertical="center"/>
    </xf>
    <xf numFmtId="0" fontId="0" fillId="0" borderId="1" xfId="0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 shrinkToFit="1"/>
    </xf>
    <xf numFmtId="3" fontId="0" fillId="0" borderId="11" xfId="0" applyNumberFormat="1" applyFont="1" applyBorder="1" applyAlignment="1">
      <alignment horizontal="center" vertical="center"/>
    </xf>
    <xf numFmtId="0" fontId="11" fillId="0" borderId="1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177" fontId="0" fillId="0" borderId="1" xfId="0" applyNumberFormat="1" applyFont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0" fontId="0" fillId="2" borderId="2" xfId="0" applyFont="1" applyFill="1" applyBorder="1" applyAlignment="1">
      <alignment horizontal="center" vertical="center" shrinkToFit="1"/>
    </xf>
    <xf numFmtId="0" fontId="0" fillId="2" borderId="3" xfId="0" applyFont="1" applyFill="1" applyBorder="1" applyAlignment="1">
      <alignment horizontal="center" vertical="center" shrinkToFit="1"/>
    </xf>
    <xf numFmtId="0" fontId="0" fillId="2" borderId="4" xfId="0" applyFont="1" applyFill="1" applyBorder="1" applyAlignment="1">
      <alignment horizontal="center" vertical="center" shrinkToFit="1"/>
    </xf>
    <xf numFmtId="0" fontId="0" fillId="2" borderId="1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left" vertical="center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 shrinkToFit="1"/>
    </xf>
    <xf numFmtId="0" fontId="6" fillId="0" borderId="0" xfId="0" applyFont="1" applyAlignment="1">
      <alignment horizontal="center" vertical="center"/>
    </xf>
    <xf numFmtId="0" fontId="13" fillId="3" borderId="0" xfId="0" applyFont="1" applyFill="1" applyAlignment="1">
      <alignment horizontal="center" vertical="center" wrapText="1" shrinkToFit="1"/>
    </xf>
    <xf numFmtId="0" fontId="7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shrinkToFit="1"/>
    </xf>
    <xf numFmtId="0" fontId="7" fillId="2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/>
    </xf>
    <xf numFmtId="0" fontId="3" fillId="4" borderId="7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21"/>
  <sheetViews>
    <sheetView tabSelected="1" zoomScale="85" zoomScaleNormal="85" zoomScaleSheetLayoutView="100" workbookViewId="0">
      <selection activeCell="C16" sqref="C16:E16"/>
    </sheetView>
  </sheetViews>
  <sheetFormatPr defaultColWidth="10.625" defaultRowHeight="16.5" x14ac:dyDescent="0.3"/>
  <cols>
    <col min="1" max="1" width="15.625" style="18" customWidth="1"/>
    <col min="2" max="2" width="22.625" style="18" customWidth="1"/>
    <col min="3" max="4" width="10.625" style="9" customWidth="1"/>
    <col min="5" max="5" width="31.625" style="9" customWidth="1"/>
    <col min="6" max="7" width="12.375" style="9" customWidth="1"/>
    <col min="8" max="8" width="11.75" style="9" customWidth="1"/>
    <col min="9" max="9" width="12.25" style="19" customWidth="1"/>
    <col min="10" max="10" width="10.625" style="19" customWidth="1"/>
    <col min="11" max="13" width="10.625" style="9" customWidth="1"/>
    <col min="14" max="14" width="10.5" style="9" customWidth="1"/>
    <col min="15" max="16384" width="10.625" style="9"/>
  </cols>
  <sheetData>
    <row r="1" spans="1:13" ht="35.1" customHeight="1" x14ac:dyDescent="0.3">
      <c r="A1" s="57" t="s">
        <v>88</v>
      </c>
      <c r="B1" s="57"/>
      <c r="C1" s="57"/>
      <c r="D1" s="57"/>
      <c r="E1" s="57"/>
      <c r="F1" s="57"/>
      <c r="G1" s="57"/>
      <c r="H1" s="57"/>
      <c r="I1" s="57"/>
      <c r="J1" s="57"/>
      <c r="K1" s="57"/>
    </row>
    <row r="2" spans="1:13" ht="24.95" customHeight="1" x14ac:dyDescent="0.3">
      <c r="A2" s="11"/>
      <c r="B2" s="11"/>
      <c r="C2" s="12"/>
      <c r="D2" s="12"/>
      <c r="E2" s="12"/>
      <c r="F2" s="12"/>
      <c r="G2" s="12"/>
      <c r="H2" s="12"/>
      <c r="I2" s="9"/>
      <c r="J2" s="9"/>
    </row>
    <row r="3" spans="1:13" ht="35.1" customHeight="1" x14ac:dyDescent="0.3">
      <c r="A3" s="58" t="s">
        <v>89</v>
      </c>
      <c r="B3" s="58"/>
      <c r="C3" s="58"/>
      <c r="D3" s="58"/>
      <c r="E3" s="58"/>
      <c r="F3" s="58"/>
      <c r="G3" s="58"/>
      <c r="H3" s="58"/>
      <c r="I3" s="58"/>
      <c r="J3" s="58"/>
      <c r="K3" s="58"/>
    </row>
    <row r="4" spans="1:13" ht="24.95" customHeight="1" x14ac:dyDescent="0.3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</row>
    <row r="5" spans="1:13" ht="24.95" customHeight="1" x14ac:dyDescent="0.3">
      <c r="A5" s="49" t="s">
        <v>90</v>
      </c>
      <c r="B5" s="49"/>
      <c r="C5" s="49"/>
      <c r="D5" s="49"/>
      <c r="E5" s="49"/>
      <c r="F5" s="49"/>
      <c r="G5" s="49"/>
      <c r="H5" s="49"/>
      <c r="I5" s="49"/>
      <c r="J5" s="49"/>
      <c r="K5" s="49"/>
    </row>
    <row r="6" spans="1:13" ht="24.95" customHeight="1" x14ac:dyDescent="0.3">
      <c r="A6" s="44" t="s">
        <v>84</v>
      </c>
      <c r="B6" s="44"/>
      <c r="C6" s="44"/>
      <c r="D6" s="44"/>
      <c r="E6" s="44"/>
      <c r="F6" s="44"/>
      <c r="G6" s="44"/>
      <c r="H6" s="44"/>
      <c r="I6" s="44"/>
      <c r="J6" s="44"/>
      <c r="K6" s="44"/>
    </row>
    <row r="7" spans="1:13" ht="24.95" customHeight="1" x14ac:dyDescent="0.3">
      <c r="A7" s="60" t="s">
        <v>4</v>
      </c>
      <c r="B7" s="60"/>
      <c r="C7" s="60"/>
      <c r="D7" s="61" t="s">
        <v>7</v>
      </c>
      <c r="E7" s="61"/>
      <c r="F7" s="59" t="s">
        <v>8</v>
      </c>
      <c r="G7" s="59"/>
      <c r="H7" s="61" t="s">
        <v>11</v>
      </c>
      <c r="I7" s="61"/>
      <c r="J7" s="61" t="s">
        <v>0</v>
      </c>
      <c r="K7" s="61"/>
    </row>
    <row r="8" spans="1:13" ht="24.95" customHeight="1" x14ac:dyDescent="0.3">
      <c r="A8" s="25" t="s">
        <v>5</v>
      </c>
      <c r="B8" s="61" t="s">
        <v>6</v>
      </c>
      <c r="C8" s="61"/>
      <c r="D8" s="26" t="s">
        <v>12</v>
      </c>
      <c r="E8" s="26" t="s">
        <v>85</v>
      </c>
      <c r="F8" s="26" t="s">
        <v>9</v>
      </c>
      <c r="G8" s="26" t="s">
        <v>10</v>
      </c>
      <c r="H8" s="26" t="s">
        <v>5</v>
      </c>
      <c r="I8" s="26" t="s">
        <v>6</v>
      </c>
      <c r="J8" s="26" t="s">
        <v>5</v>
      </c>
      <c r="K8" s="26" t="s">
        <v>6</v>
      </c>
    </row>
    <row r="9" spans="1:13" s="16" customFormat="1" ht="24.95" customHeight="1" x14ac:dyDescent="0.3">
      <c r="A9" s="14">
        <v>7</v>
      </c>
      <c r="B9" s="43">
        <f>J14</f>
        <v>1202310</v>
      </c>
      <c r="C9" s="43"/>
      <c r="D9" s="15">
        <v>4</v>
      </c>
      <c r="E9" s="15">
        <f>SUM(J15:J18)</f>
        <v>289810</v>
      </c>
      <c r="F9" s="15">
        <v>2</v>
      </c>
      <c r="G9" s="14">
        <f>SUM(J19,J21)</f>
        <v>792500</v>
      </c>
      <c r="H9" s="14">
        <v>1</v>
      </c>
      <c r="I9" s="14">
        <f>J20</f>
        <v>120000</v>
      </c>
      <c r="J9" s="14">
        <v>0</v>
      </c>
      <c r="K9" s="14">
        <v>0</v>
      </c>
      <c r="M9" s="17"/>
    </row>
    <row r="10" spans="1:13" s="16" customFormat="1" ht="24.95" customHeight="1" x14ac:dyDescent="0.3">
      <c r="A10" s="22"/>
      <c r="B10" s="23"/>
      <c r="C10" s="23"/>
      <c r="D10" s="24"/>
      <c r="E10" s="24"/>
      <c r="F10" s="24"/>
      <c r="G10" s="22"/>
      <c r="H10" s="22"/>
      <c r="I10" s="22"/>
      <c r="J10" s="22"/>
      <c r="K10" s="22"/>
      <c r="M10" s="17"/>
    </row>
    <row r="11" spans="1:13" s="16" customFormat="1" ht="24.95" customHeight="1" x14ac:dyDescent="0.3">
      <c r="A11" s="49" t="s">
        <v>82</v>
      </c>
      <c r="B11" s="49"/>
      <c r="C11" s="49"/>
      <c r="D11" s="49"/>
      <c r="E11" s="49"/>
      <c r="F11" s="49"/>
      <c r="G11" s="49"/>
      <c r="H11" s="49"/>
      <c r="I11" s="49"/>
      <c r="J11" s="49"/>
      <c r="K11" s="49"/>
      <c r="M11" s="17"/>
    </row>
    <row r="12" spans="1:13" s="18" customFormat="1" ht="24.95" customHeight="1" x14ac:dyDescent="0.3">
      <c r="A12" s="44" t="s">
        <v>83</v>
      </c>
      <c r="B12" s="44"/>
      <c r="C12" s="44"/>
      <c r="D12" s="44"/>
      <c r="E12" s="44"/>
      <c r="F12" s="44"/>
      <c r="G12" s="44"/>
      <c r="H12" s="44"/>
      <c r="I12" s="44"/>
      <c r="J12" s="44"/>
      <c r="K12" s="44"/>
    </row>
    <row r="13" spans="1:13" s="8" customFormat="1" ht="24.95" customHeight="1" x14ac:dyDescent="0.3">
      <c r="A13" s="21" t="s">
        <v>1</v>
      </c>
      <c r="B13" s="21" t="s">
        <v>62</v>
      </c>
      <c r="C13" s="45" t="s">
        <v>63</v>
      </c>
      <c r="D13" s="46"/>
      <c r="E13" s="47"/>
      <c r="F13" s="21" t="s">
        <v>2</v>
      </c>
      <c r="G13" s="48" t="s">
        <v>64</v>
      </c>
      <c r="H13" s="48"/>
      <c r="I13" s="48"/>
      <c r="J13" s="21" t="s">
        <v>3</v>
      </c>
      <c r="K13" s="21" t="s">
        <v>65</v>
      </c>
    </row>
    <row r="14" spans="1:13" s="10" customFormat="1" ht="24.95" customHeight="1" x14ac:dyDescent="0.3">
      <c r="A14" s="28"/>
      <c r="B14" s="28"/>
      <c r="C14" s="63"/>
      <c r="D14" s="63"/>
      <c r="E14" s="63"/>
      <c r="F14" s="28"/>
      <c r="G14" s="62"/>
      <c r="H14" s="62"/>
      <c r="I14" s="62"/>
      <c r="J14" s="27">
        <f>SUM(J15:J21)</f>
        <v>1202310</v>
      </c>
      <c r="K14" s="28"/>
    </row>
    <row r="15" spans="1:13" x14ac:dyDescent="0.3">
      <c r="A15" s="30">
        <v>45840</v>
      </c>
      <c r="B15" s="31" t="s">
        <v>97</v>
      </c>
      <c r="C15" s="50" t="s">
        <v>109</v>
      </c>
      <c r="D15" s="51"/>
      <c r="E15" s="52"/>
      <c r="F15" s="33" t="s">
        <v>7</v>
      </c>
      <c r="G15" s="53" t="s">
        <v>102</v>
      </c>
      <c r="H15" s="54"/>
      <c r="I15" s="55"/>
      <c r="J15" s="29">
        <v>72000</v>
      </c>
      <c r="K15" s="20" t="s">
        <v>87</v>
      </c>
    </row>
    <row r="16" spans="1:13" ht="18" customHeight="1" x14ac:dyDescent="0.3">
      <c r="A16" s="30">
        <v>45848</v>
      </c>
      <c r="B16" s="34" t="s">
        <v>97</v>
      </c>
      <c r="C16" s="50" t="s">
        <v>91</v>
      </c>
      <c r="D16" s="51"/>
      <c r="E16" s="52"/>
      <c r="F16" s="37" t="s">
        <v>7</v>
      </c>
      <c r="G16" s="56" t="s">
        <v>103</v>
      </c>
      <c r="H16" s="56"/>
      <c r="I16" s="56"/>
      <c r="J16" s="35">
        <v>136000</v>
      </c>
      <c r="K16" s="36" t="s">
        <v>87</v>
      </c>
    </row>
    <row r="17" spans="1:11" s="32" customFormat="1" ht="18" customHeight="1" x14ac:dyDescent="0.3">
      <c r="A17" s="38">
        <v>45852</v>
      </c>
      <c r="B17" s="31" t="s">
        <v>98</v>
      </c>
      <c r="C17" s="42" t="s">
        <v>92</v>
      </c>
      <c r="D17" s="42"/>
      <c r="E17" s="42"/>
      <c r="F17" s="33" t="s">
        <v>7</v>
      </c>
      <c r="G17" s="56" t="s">
        <v>104</v>
      </c>
      <c r="H17" s="56"/>
      <c r="I17" s="56"/>
      <c r="J17" s="29">
        <v>54000</v>
      </c>
      <c r="K17" s="20" t="s">
        <v>87</v>
      </c>
    </row>
    <row r="18" spans="1:11" x14ac:dyDescent="0.3">
      <c r="A18" s="38">
        <v>45853</v>
      </c>
      <c r="B18" s="31" t="s">
        <v>99</v>
      </c>
      <c r="C18" s="42" t="s">
        <v>93</v>
      </c>
      <c r="D18" s="42"/>
      <c r="E18" s="42"/>
      <c r="F18" s="33" t="s">
        <v>7</v>
      </c>
      <c r="G18" s="41" t="s">
        <v>105</v>
      </c>
      <c r="H18" s="41"/>
      <c r="I18" s="41"/>
      <c r="J18" s="29">
        <v>27810</v>
      </c>
      <c r="K18" s="20" t="s">
        <v>87</v>
      </c>
    </row>
    <row r="19" spans="1:11" x14ac:dyDescent="0.3">
      <c r="A19" s="30">
        <v>45856</v>
      </c>
      <c r="B19" s="31" t="s">
        <v>98</v>
      </c>
      <c r="C19" s="53" t="s">
        <v>95</v>
      </c>
      <c r="D19" s="54"/>
      <c r="E19" s="55"/>
      <c r="F19" s="39" t="s">
        <v>86</v>
      </c>
      <c r="G19" s="53" t="s">
        <v>107</v>
      </c>
      <c r="H19" s="54"/>
      <c r="I19" s="55"/>
      <c r="J19" s="29">
        <v>630000</v>
      </c>
      <c r="K19" s="20" t="s">
        <v>87</v>
      </c>
    </row>
    <row r="20" spans="1:11" x14ac:dyDescent="0.3">
      <c r="A20" s="30">
        <v>45859</v>
      </c>
      <c r="B20" s="31" t="s">
        <v>100</v>
      </c>
      <c r="C20" s="40" t="s">
        <v>94</v>
      </c>
      <c r="D20" s="40"/>
      <c r="E20" s="40"/>
      <c r="F20" s="39" t="s">
        <v>96</v>
      </c>
      <c r="G20" s="40" t="s">
        <v>106</v>
      </c>
      <c r="H20" s="40"/>
      <c r="I20" s="40"/>
      <c r="J20" s="29">
        <v>120000</v>
      </c>
      <c r="K20" s="20" t="s">
        <v>87</v>
      </c>
    </row>
    <row r="21" spans="1:11" x14ac:dyDescent="0.3">
      <c r="A21" s="30">
        <v>45861</v>
      </c>
      <c r="B21" s="31" t="s">
        <v>101</v>
      </c>
      <c r="C21" s="40" t="s">
        <v>79</v>
      </c>
      <c r="D21" s="40"/>
      <c r="E21" s="40"/>
      <c r="F21" s="39" t="s">
        <v>86</v>
      </c>
      <c r="G21" s="40" t="s">
        <v>108</v>
      </c>
      <c r="H21" s="40"/>
      <c r="I21" s="40"/>
      <c r="J21" s="29">
        <v>162500</v>
      </c>
      <c r="K21" s="20" t="s">
        <v>87</v>
      </c>
    </row>
  </sheetData>
  <mergeCells count="31">
    <mergeCell ref="C21:E21"/>
    <mergeCell ref="G21:I21"/>
    <mergeCell ref="C19:E19"/>
    <mergeCell ref="G19:I19"/>
    <mergeCell ref="C15:E15"/>
    <mergeCell ref="G15:I15"/>
    <mergeCell ref="G16:I16"/>
    <mergeCell ref="C16:E16"/>
    <mergeCell ref="A1:K1"/>
    <mergeCell ref="A3:K3"/>
    <mergeCell ref="A5:K5"/>
    <mergeCell ref="A6:K6"/>
    <mergeCell ref="F7:G7"/>
    <mergeCell ref="A7:C7"/>
    <mergeCell ref="D7:E7"/>
    <mergeCell ref="H7:I7"/>
    <mergeCell ref="J7:K7"/>
    <mergeCell ref="G14:I14"/>
    <mergeCell ref="C14:E14"/>
    <mergeCell ref="B8:C8"/>
    <mergeCell ref="B9:C9"/>
    <mergeCell ref="A12:K12"/>
    <mergeCell ref="C13:E13"/>
    <mergeCell ref="G13:I13"/>
    <mergeCell ref="A11:K11"/>
    <mergeCell ref="G17:I17"/>
    <mergeCell ref="G18:I18"/>
    <mergeCell ref="G20:I20"/>
    <mergeCell ref="C17:E17"/>
    <mergeCell ref="C18:E18"/>
    <mergeCell ref="C20:E20"/>
  </mergeCells>
  <phoneticPr fontId="1" type="noConversion"/>
  <pageMargins left="0.25" right="0.25" top="0.75" bottom="0.75" header="0.3" footer="0.3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AF42E-273D-4C4B-A600-F3EA10C3A313}">
  <dimension ref="A1"/>
  <sheetViews>
    <sheetView workbookViewId="0">
      <selection activeCell="D28" sqref="D28"/>
    </sheetView>
  </sheetViews>
  <sheetFormatPr defaultRowHeight="16.5" x14ac:dyDescent="0.3"/>
  <sheetData/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31"/>
  <sheetViews>
    <sheetView topLeftCell="R1" workbookViewId="0">
      <selection activeCell="T28" sqref="T28"/>
    </sheetView>
  </sheetViews>
  <sheetFormatPr defaultRowHeight="16.5" x14ac:dyDescent="0.3"/>
  <cols>
    <col min="5" max="5" width="31.25" customWidth="1"/>
    <col min="7" max="7" width="13" bestFit="1" customWidth="1"/>
    <col min="8" max="8" width="9.75" bestFit="1" customWidth="1"/>
    <col min="10" max="10" width="13" bestFit="1" customWidth="1"/>
    <col min="11" max="11" width="19.625" customWidth="1"/>
    <col min="12" max="12" width="17.5" customWidth="1"/>
    <col min="14" max="14" width="13" bestFit="1" customWidth="1"/>
    <col min="17" max="17" width="13" bestFit="1" customWidth="1"/>
    <col min="20" max="20" width="13" bestFit="1" customWidth="1"/>
    <col min="22" max="22" width="15" bestFit="1" customWidth="1"/>
    <col min="23" max="23" width="13" bestFit="1" customWidth="1"/>
    <col min="25" max="25" width="35.5" bestFit="1" customWidth="1"/>
    <col min="26" max="26" width="15.25" customWidth="1"/>
    <col min="28" max="28" width="11.125" customWidth="1"/>
    <col min="31" max="31" width="12.25" customWidth="1"/>
    <col min="32" max="38" width="11.125" customWidth="1"/>
    <col min="261" max="261" width="19" customWidth="1"/>
    <col min="263" max="263" width="13" bestFit="1" customWidth="1"/>
    <col min="266" max="266" width="13" bestFit="1" customWidth="1"/>
    <col min="268" max="268" width="17.5" customWidth="1"/>
    <col min="270" max="270" width="13" bestFit="1" customWidth="1"/>
    <col min="273" max="273" width="13" bestFit="1" customWidth="1"/>
    <col min="276" max="276" width="13" bestFit="1" customWidth="1"/>
    <col min="279" max="279" width="13" bestFit="1" customWidth="1"/>
    <col min="282" max="282" width="13" bestFit="1" customWidth="1"/>
    <col min="284" max="284" width="11.125" customWidth="1"/>
    <col min="287" max="287" width="12.25" customWidth="1"/>
    <col min="288" max="294" width="11.125" customWidth="1"/>
    <col min="517" max="517" width="19" customWidth="1"/>
    <col min="519" max="519" width="13" bestFit="1" customWidth="1"/>
    <col min="522" max="522" width="13" bestFit="1" customWidth="1"/>
    <col min="524" max="524" width="17.5" customWidth="1"/>
    <col min="526" max="526" width="13" bestFit="1" customWidth="1"/>
    <col min="529" max="529" width="13" bestFit="1" customWidth="1"/>
    <col min="532" max="532" width="13" bestFit="1" customWidth="1"/>
    <col min="535" max="535" width="13" bestFit="1" customWidth="1"/>
    <col min="538" max="538" width="13" bestFit="1" customWidth="1"/>
    <col min="540" max="540" width="11.125" customWidth="1"/>
    <col min="543" max="543" width="12.25" customWidth="1"/>
    <col min="544" max="550" width="11.125" customWidth="1"/>
    <col min="773" max="773" width="19" customWidth="1"/>
    <col min="775" max="775" width="13" bestFit="1" customWidth="1"/>
    <col min="778" max="778" width="13" bestFit="1" customWidth="1"/>
    <col min="780" max="780" width="17.5" customWidth="1"/>
    <col min="782" max="782" width="13" bestFit="1" customWidth="1"/>
    <col min="785" max="785" width="13" bestFit="1" customWidth="1"/>
    <col min="788" max="788" width="13" bestFit="1" customWidth="1"/>
    <col min="791" max="791" width="13" bestFit="1" customWidth="1"/>
    <col min="794" max="794" width="13" bestFit="1" customWidth="1"/>
    <col min="796" max="796" width="11.125" customWidth="1"/>
    <col min="799" max="799" width="12.25" customWidth="1"/>
    <col min="800" max="806" width="11.125" customWidth="1"/>
    <col min="1029" max="1029" width="19" customWidth="1"/>
    <col min="1031" max="1031" width="13" bestFit="1" customWidth="1"/>
    <col min="1034" max="1034" width="13" bestFit="1" customWidth="1"/>
    <col min="1036" max="1036" width="17.5" customWidth="1"/>
    <col min="1038" max="1038" width="13" bestFit="1" customWidth="1"/>
    <col min="1041" max="1041" width="13" bestFit="1" customWidth="1"/>
    <col min="1044" max="1044" width="13" bestFit="1" customWidth="1"/>
    <col min="1047" max="1047" width="13" bestFit="1" customWidth="1"/>
    <col min="1050" max="1050" width="13" bestFit="1" customWidth="1"/>
    <col min="1052" max="1052" width="11.125" customWidth="1"/>
    <col min="1055" max="1055" width="12.25" customWidth="1"/>
    <col min="1056" max="1062" width="11.125" customWidth="1"/>
    <col min="1285" max="1285" width="19" customWidth="1"/>
    <col min="1287" max="1287" width="13" bestFit="1" customWidth="1"/>
    <col min="1290" max="1290" width="13" bestFit="1" customWidth="1"/>
    <col min="1292" max="1292" width="17.5" customWidth="1"/>
    <col min="1294" max="1294" width="13" bestFit="1" customWidth="1"/>
    <col min="1297" max="1297" width="13" bestFit="1" customWidth="1"/>
    <col min="1300" max="1300" width="13" bestFit="1" customWidth="1"/>
    <col min="1303" max="1303" width="13" bestFit="1" customWidth="1"/>
    <col min="1306" max="1306" width="13" bestFit="1" customWidth="1"/>
    <col min="1308" max="1308" width="11.125" customWidth="1"/>
    <col min="1311" max="1311" width="12.25" customWidth="1"/>
    <col min="1312" max="1318" width="11.125" customWidth="1"/>
    <col min="1541" max="1541" width="19" customWidth="1"/>
    <col min="1543" max="1543" width="13" bestFit="1" customWidth="1"/>
    <col min="1546" max="1546" width="13" bestFit="1" customWidth="1"/>
    <col min="1548" max="1548" width="17.5" customWidth="1"/>
    <col min="1550" max="1550" width="13" bestFit="1" customWidth="1"/>
    <col min="1553" max="1553" width="13" bestFit="1" customWidth="1"/>
    <col min="1556" max="1556" width="13" bestFit="1" customWidth="1"/>
    <col min="1559" max="1559" width="13" bestFit="1" customWidth="1"/>
    <col min="1562" max="1562" width="13" bestFit="1" customWidth="1"/>
    <col min="1564" max="1564" width="11.125" customWidth="1"/>
    <col min="1567" max="1567" width="12.25" customWidth="1"/>
    <col min="1568" max="1574" width="11.125" customWidth="1"/>
    <col min="1797" max="1797" width="19" customWidth="1"/>
    <col min="1799" max="1799" width="13" bestFit="1" customWidth="1"/>
    <col min="1802" max="1802" width="13" bestFit="1" customWidth="1"/>
    <col min="1804" max="1804" width="17.5" customWidth="1"/>
    <col min="1806" max="1806" width="13" bestFit="1" customWidth="1"/>
    <col min="1809" max="1809" width="13" bestFit="1" customWidth="1"/>
    <col min="1812" max="1812" width="13" bestFit="1" customWidth="1"/>
    <col min="1815" max="1815" width="13" bestFit="1" customWidth="1"/>
    <col min="1818" max="1818" width="13" bestFit="1" customWidth="1"/>
    <col min="1820" max="1820" width="11.125" customWidth="1"/>
    <col min="1823" max="1823" width="12.25" customWidth="1"/>
    <col min="1824" max="1830" width="11.125" customWidth="1"/>
    <col min="2053" max="2053" width="19" customWidth="1"/>
    <col min="2055" max="2055" width="13" bestFit="1" customWidth="1"/>
    <col min="2058" max="2058" width="13" bestFit="1" customWidth="1"/>
    <col min="2060" max="2060" width="17.5" customWidth="1"/>
    <col min="2062" max="2062" width="13" bestFit="1" customWidth="1"/>
    <col min="2065" max="2065" width="13" bestFit="1" customWidth="1"/>
    <col min="2068" max="2068" width="13" bestFit="1" customWidth="1"/>
    <col min="2071" max="2071" width="13" bestFit="1" customWidth="1"/>
    <col min="2074" max="2074" width="13" bestFit="1" customWidth="1"/>
    <col min="2076" max="2076" width="11.125" customWidth="1"/>
    <col min="2079" max="2079" width="12.25" customWidth="1"/>
    <col min="2080" max="2086" width="11.125" customWidth="1"/>
    <col min="2309" max="2309" width="19" customWidth="1"/>
    <col min="2311" max="2311" width="13" bestFit="1" customWidth="1"/>
    <col min="2314" max="2314" width="13" bestFit="1" customWidth="1"/>
    <col min="2316" max="2316" width="17.5" customWidth="1"/>
    <col min="2318" max="2318" width="13" bestFit="1" customWidth="1"/>
    <col min="2321" max="2321" width="13" bestFit="1" customWidth="1"/>
    <col min="2324" max="2324" width="13" bestFit="1" customWidth="1"/>
    <col min="2327" max="2327" width="13" bestFit="1" customWidth="1"/>
    <col min="2330" max="2330" width="13" bestFit="1" customWidth="1"/>
    <col min="2332" max="2332" width="11.125" customWidth="1"/>
    <col min="2335" max="2335" width="12.25" customWidth="1"/>
    <col min="2336" max="2342" width="11.125" customWidth="1"/>
    <col min="2565" max="2565" width="19" customWidth="1"/>
    <col min="2567" max="2567" width="13" bestFit="1" customWidth="1"/>
    <col min="2570" max="2570" width="13" bestFit="1" customWidth="1"/>
    <col min="2572" max="2572" width="17.5" customWidth="1"/>
    <col min="2574" max="2574" width="13" bestFit="1" customWidth="1"/>
    <col min="2577" max="2577" width="13" bestFit="1" customWidth="1"/>
    <col min="2580" max="2580" width="13" bestFit="1" customWidth="1"/>
    <col min="2583" max="2583" width="13" bestFit="1" customWidth="1"/>
    <col min="2586" max="2586" width="13" bestFit="1" customWidth="1"/>
    <col min="2588" max="2588" width="11.125" customWidth="1"/>
    <col min="2591" max="2591" width="12.25" customWidth="1"/>
    <col min="2592" max="2598" width="11.125" customWidth="1"/>
    <col min="2821" max="2821" width="19" customWidth="1"/>
    <col min="2823" max="2823" width="13" bestFit="1" customWidth="1"/>
    <col min="2826" max="2826" width="13" bestFit="1" customWidth="1"/>
    <col min="2828" max="2828" width="17.5" customWidth="1"/>
    <col min="2830" max="2830" width="13" bestFit="1" customWidth="1"/>
    <col min="2833" max="2833" width="13" bestFit="1" customWidth="1"/>
    <col min="2836" max="2836" width="13" bestFit="1" customWidth="1"/>
    <col min="2839" max="2839" width="13" bestFit="1" customWidth="1"/>
    <col min="2842" max="2842" width="13" bestFit="1" customWidth="1"/>
    <col min="2844" max="2844" width="11.125" customWidth="1"/>
    <col min="2847" max="2847" width="12.25" customWidth="1"/>
    <col min="2848" max="2854" width="11.125" customWidth="1"/>
    <col min="3077" max="3077" width="19" customWidth="1"/>
    <col min="3079" max="3079" width="13" bestFit="1" customWidth="1"/>
    <col min="3082" max="3082" width="13" bestFit="1" customWidth="1"/>
    <col min="3084" max="3084" width="17.5" customWidth="1"/>
    <col min="3086" max="3086" width="13" bestFit="1" customWidth="1"/>
    <col min="3089" max="3089" width="13" bestFit="1" customWidth="1"/>
    <col min="3092" max="3092" width="13" bestFit="1" customWidth="1"/>
    <col min="3095" max="3095" width="13" bestFit="1" customWidth="1"/>
    <col min="3098" max="3098" width="13" bestFit="1" customWidth="1"/>
    <col min="3100" max="3100" width="11.125" customWidth="1"/>
    <col min="3103" max="3103" width="12.25" customWidth="1"/>
    <col min="3104" max="3110" width="11.125" customWidth="1"/>
    <col min="3333" max="3333" width="19" customWidth="1"/>
    <col min="3335" max="3335" width="13" bestFit="1" customWidth="1"/>
    <col min="3338" max="3338" width="13" bestFit="1" customWidth="1"/>
    <col min="3340" max="3340" width="17.5" customWidth="1"/>
    <col min="3342" max="3342" width="13" bestFit="1" customWidth="1"/>
    <col min="3345" max="3345" width="13" bestFit="1" customWidth="1"/>
    <col min="3348" max="3348" width="13" bestFit="1" customWidth="1"/>
    <col min="3351" max="3351" width="13" bestFit="1" customWidth="1"/>
    <col min="3354" max="3354" width="13" bestFit="1" customWidth="1"/>
    <col min="3356" max="3356" width="11.125" customWidth="1"/>
    <col min="3359" max="3359" width="12.25" customWidth="1"/>
    <col min="3360" max="3366" width="11.125" customWidth="1"/>
    <col min="3589" max="3589" width="19" customWidth="1"/>
    <col min="3591" max="3591" width="13" bestFit="1" customWidth="1"/>
    <col min="3594" max="3594" width="13" bestFit="1" customWidth="1"/>
    <col min="3596" max="3596" width="17.5" customWidth="1"/>
    <col min="3598" max="3598" width="13" bestFit="1" customWidth="1"/>
    <col min="3601" max="3601" width="13" bestFit="1" customWidth="1"/>
    <col min="3604" max="3604" width="13" bestFit="1" customWidth="1"/>
    <col min="3607" max="3607" width="13" bestFit="1" customWidth="1"/>
    <col min="3610" max="3610" width="13" bestFit="1" customWidth="1"/>
    <col min="3612" max="3612" width="11.125" customWidth="1"/>
    <col min="3615" max="3615" width="12.25" customWidth="1"/>
    <col min="3616" max="3622" width="11.125" customWidth="1"/>
    <col min="3845" max="3845" width="19" customWidth="1"/>
    <col min="3847" max="3847" width="13" bestFit="1" customWidth="1"/>
    <col min="3850" max="3850" width="13" bestFit="1" customWidth="1"/>
    <col min="3852" max="3852" width="17.5" customWidth="1"/>
    <col min="3854" max="3854" width="13" bestFit="1" customWidth="1"/>
    <col min="3857" max="3857" width="13" bestFit="1" customWidth="1"/>
    <col min="3860" max="3860" width="13" bestFit="1" customWidth="1"/>
    <col min="3863" max="3863" width="13" bestFit="1" customWidth="1"/>
    <col min="3866" max="3866" width="13" bestFit="1" customWidth="1"/>
    <col min="3868" max="3868" width="11.125" customWidth="1"/>
    <col min="3871" max="3871" width="12.25" customWidth="1"/>
    <col min="3872" max="3878" width="11.125" customWidth="1"/>
    <col min="4101" max="4101" width="19" customWidth="1"/>
    <col min="4103" max="4103" width="13" bestFit="1" customWidth="1"/>
    <col min="4106" max="4106" width="13" bestFit="1" customWidth="1"/>
    <col min="4108" max="4108" width="17.5" customWidth="1"/>
    <col min="4110" max="4110" width="13" bestFit="1" customWidth="1"/>
    <col min="4113" max="4113" width="13" bestFit="1" customWidth="1"/>
    <col min="4116" max="4116" width="13" bestFit="1" customWidth="1"/>
    <col min="4119" max="4119" width="13" bestFit="1" customWidth="1"/>
    <col min="4122" max="4122" width="13" bestFit="1" customWidth="1"/>
    <col min="4124" max="4124" width="11.125" customWidth="1"/>
    <col min="4127" max="4127" width="12.25" customWidth="1"/>
    <col min="4128" max="4134" width="11.125" customWidth="1"/>
    <col min="4357" max="4357" width="19" customWidth="1"/>
    <col min="4359" max="4359" width="13" bestFit="1" customWidth="1"/>
    <col min="4362" max="4362" width="13" bestFit="1" customWidth="1"/>
    <col min="4364" max="4364" width="17.5" customWidth="1"/>
    <col min="4366" max="4366" width="13" bestFit="1" customWidth="1"/>
    <col min="4369" max="4369" width="13" bestFit="1" customWidth="1"/>
    <col min="4372" max="4372" width="13" bestFit="1" customWidth="1"/>
    <col min="4375" max="4375" width="13" bestFit="1" customWidth="1"/>
    <col min="4378" max="4378" width="13" bestFit="1" customWidth="1"/>
    <col min="4380" max="4380" width="11.125" customWidth="1"/>
    <col min="4383" max="4383" width="12.25" customWidth="1"/>
    <col min="4384" max="4390" width="11.125" customWidth="1"/>
    <col min="4613" max="4613" width="19" customWidth="1"/>
    <col min="4615" max="4615" width="13" bestFit="1" customWidth="1"/>
    <col min="4618" max="4618" width="13" bestFit="1" customWidth="1"/>
    <col min="4620" max="4620" width="17.5" customWidth="1"/>
    <col min="4622" max="4622" width="13" bestFit="1" customWidth="1"/>
    <col min="4625" max="4625" width="13" bestFit="1" customWidth="1"/>
    <col min="4628" max="4628" width="13" bestFit="1" customWidth="1"/>
    <col min="4631" max="4631" width="13" bestFit="1" customWidth="1"/>
    <col min="4634" max="4634" width="13" bestFit="1" customWidth="1"/>
    <col min="4636" max="4636" width="11.125" customWidth="1"/>
    <col min="4639" max="4639" width="12.25" customWidth="1"/>
    <col min="4640" max="4646" width="11.125" customWidth="1"/>
    <col min="4869" max="4869" width="19" customWidth="1"/>
    <col min="4871" max="4871" width="13" bestFit="1" customWidth="1"/>
    <col min="4874" max="4874" width="13" bestFit="1" customWidth="1"/>
    <col min="4876" max="4876" width="17.5" customWidth="1"/>
    <col min="4878" max="4878" width="13" bestFit="1" customWidth="1"/>
    <col min="4881" max="4881" width="13" bestFit="1" customWidth="1"/>
    <col min="4884" max="4884" width="13" bestFit="1" customWidth="1"/>
    <col min="4887" max="4887" width="13" bestFit="1" customWidth="1"/>
    <col min="4890" max="4890" width="13" bestFit="1" customWidth="1"/>
    <col min="4892" max="4892" width="11.125" customWidth="1"/>
    <col min="4895" max="4895" width="12.25" customWidth="1"/>
    <col min="4896" max="4902" width="11.125" customWidth="1"/>
    <col min="5125" max="5125" width="19" customWidth="1"/>
    <col min="5127" max="5127" width="13" bestFit="1" customWidth="1"/>
    <col min="5130" max="5130" width="13" bestFit="1" customWidth="1"/>
    <col min="5132" max="5132" width="17.5" customWidth="1"/>
    <col min="5134" max="5134" width="13" bestFit="1" customWidth="1"/>
    <col min="5137" max="5137" width="13" bestFit="1" customWidth="1"/>
    <col min="5140" max="5140" width="13" bestFit="1" customWidth="1"/>
    <col min="5143" max="5143" width="13" bestFit="1" customWidth="1"/>
    <col min="5146" max="5146" width="13" bestFit="1" customWidth="1"/>
    <col min="5148" max="5148" width="11.125" customWidth="1"/>
    <col min="5151" max="5151" width="12.25" customWidth="1"/>
    <col min="5152" max="5158" width="11.125" customWidth="1"/>
    <col min="5381" max="5381" width="19" customWidth="1"/>
    <col min="5383" max="5383" width="13" bestFit="1" customWidth="1"/>
    <col min="5386" max="5386" width="13" bestFit="1" customWidth="1"/>
    <col min="5388" max="5388" width="17.5" customWidth="1"/>
    <col min="5390" max="5390" width="13" bestFit="1" customWidth="1"/>
    <col min="5393" max="5393" width="13" bestFit="1" customWidth="1"/>
    <col min="5396" max="5396" width="13" bestFit="1" customWidth="1"/>
    <col min="5399" max="5399" width="13" bestFit="1" customWidth="1"/>
    <col min="5402" max="5402" width="13" bestFit="1" customWidth="1"/>
    <col min="5404" max="5404" width="11.125" customWidth="1"/>
    <col min="5407" max="5407" width="12.25" customWidth="1"/>
    <col min="5408" max="5414" width="11.125" customWidth="1"/>
    <col min="5637" max="5637" width="19" customWidth="1"/>
    <col min="5639" max="5639" width="13" bestFit="1" customWidth="1"/>
    <col min="5642" max="5642" width="13" bestFit="1" customWidth="1"/>
    <col min="5644" max="5644" width="17.5" customWidth="1"/>
    <col min="5646" max="5646" width="13" bestFit="1" customWidth="1"/>
    <col min="5649" max="5649" width="13" bestFit="1" customWidth="1"/>
    <col min="5652" max="5652" width="13" bestFit="1" customWidth="1"/>
    <col min="5655" max="5655" width="13" bestFit="1" customWidth="1"/>
    <col min="5658" max="5658" width="13" bestFit="1" customWidth="1"/>
    <col min="5660" max="5660" width="11.125" customWidth="1"/>
    <col min="5663" max="5663" width="12.25" customWidth="1"/>
    <col min="5664" max="5670" width="11.125" customWidth="1"/>
    <col min="5893" max="5893" width="19" customWidth="1"/>
    <col min="5895" max="5895" width="13" bestFit="1" customWidth="1"/>
    <col min="5898" max="5898" width="13" bestFit="1" customWidth="1"/>
    <col min="5900" max="5900" width="17.5" customWidth="1"/>
    <col min="5902" max="5902" width="13" bestFit="1" customWidth="1"/>
    <col min="5905" max="5905" width="13" bestFit="1" customWidth="1"/>
    <col min="5908" max="5908" width="13" bestFit="1" customWidth="1"/>
    <col min="5911" max="5911" width="13" bestFit="1" customWidth="1"/>
    <col min="5914" max="5914" width="13" bestFit="1" customWidth="1"/>
    <col min="5916" max="5916" width="11.125" customWidth="1"/>
    <col min="5919" max="5919" width="12.25" customWidth="1"/>
    <col min="5920" max="5926" width="11.125" customWidth="1"/>
    <col min="6149" max="6149" width="19" customWidth="1"/>
    <col min="6151" max="6151" width="13" bestFit="1" customWidth="1"/>
    <col min="6154" max="6154" width="13" bestFit="1" customWidth="1"/>
    <col min="6156" max="6156" width="17.5" customWidth="1"/>
    <col min="6158" max="6158" width="13" bestFit="1" customWidth="1"/>
    <col min="6161" max="6161" width="13" bestFit="1" customWidth="1"/>
    <col min="6164" max="6164" width="13" bestFit="1" customWidth="1"/>
    <col min="6167" max="6167" width="13" bestFit="1" customWidth="1"/>
    <col min="6170" max="6170" width="13" bestFit="1" customWidth="1"/>
    <col min="6172" max="6172" width="11.125" customWidth="1"/>
    <col min="6175" max="6175" width="12.25" customWidth="1"/>
    <col min="6176" max="6182" width="11.125" customWidth="1"/>
    <col min="6405" max="6405" width="19" customWidth="1"/>
    <col min="6407" max="6407" width="13" bestFit="1" customWidth="1"/>
    <col min="6410" max="6410" width="13" bestFit="1" customWidth="1"/>
    <col min="6412" max="6412" width="17.5" customWidth="1"/>
    <col min="6414" max="6414" width="13" bestFit="1" customWidth="1"/>
    <col min="6417" max="6417" width="13" bestFit="1" customWidth="1"/>
    <col min="6420" max="6420" width="13" bestFit="1" customWidth="1"/>
    <col min="6423" max="6423" width="13" bestFit="1" customWidth="1"/>
    <col min="6426" max="6426" width="13" bestFit="1" customWidth="1"/>
    <col min="6428" max="6428" width="11.125" customWidth="1"/>
    <col min="6431" max="6431" width="12.25" customWidth="1"/>
    <col min="6432" max="6438" width="11.125" customWidth="1"/>
    <col min="6661" max="6661" width="19" customWidth="1"/>
    <col min="6663" max="6663" width="13" bestFit="1" customWidth="1"/>
    <col min="6666" max="6666" width="13" bestFit="1" customWidth="1"/>
    <col min="6668" max="6668" width="17.5" customWidth="1"/>
    <col min="6670" max="6670" width="13" bestFit="1" customWidth="1"/>
    <col min="6673" max="6673" width="13" bestFit="1" customWidth="1"/>
    <col min="6676" max="6676" width="13" bestFit="1" customWidth="1"/>
    <col min="6679" max="6679" width="13" bestFit="1" customWidth="1"/>
    <col min="6682" max="6682" width="13" bestFit="1" customWidth="1"/>
    <col min="6684" max="6684" width="11.125" customWidth="1"/>
    <col min="6687" max="6687" width="12.25" customWidth="1"/>
    <col min="6688" max="6694" width="11.125" customWidth="1"/>
    <col min="6917" max="6917" width="19" customWidth="1"/>
    <col min="6919" max="6919" width="13" bestFit="1" customWidth="1"/>
    <col min="6922" max="6922" width="13" bestFit="1" customWidth="1"/>
    <col min="6924" max="6924" width="17.5" customWidth="1"/>
    <col min="6926" max="6926" width="13" bestFit="1" customWidth="1"/>
    <col min="6929" max="6929" width="13" bestFit="1" customWidth="1"/>
    <col min="6932" max="6932" width="13" bestFit="1" customWidth="1"/>
    <col min="6935" max="6935" width="13" bestFit="1" customWidth="1"/>
    <col min="6938" max="6938" width="13" bestFit="1" customWidth="1"/>
    <col min="6940" max="6940" width="11.125" customWidth="1"/>
    <col min="6943" max="6943" width="12.25" customWidth="1"/>
    <col min="6944" max="6950" width="11.125" customWidth="1"/>
    <col min="7173" max="7173" width="19" customWidth="1"/>
    <col min="7175" max="7175" width="13" bestFit="1" customWidth="1"/>
    <col min="7178" max="7178" width="13" bestFit="1" customWidth="1"/>
    <col min="7180" max="7180" width="17.5" customWidth="1"/>
    <col min="7182" max="7182" width="13" bestFit="1" customWidth="1"/>
    <col min="7185" max="7185" width="13" bestFit="1" customWidth="1"/>
    <col min="7188" max="7188" width="13" bestFit="1" customWidth="1"/>
    <col min="7191" max="7191" width="13" bestFit="1" customWidth="1"/>
    <col min="7194" max="7194" width="13" bestFit="1" customWidth="1"/>
    <col min="7196" max="7196" width="11.125" customWidth="1"/>
    <col min="7199" max="7199" width="12.25" customWidth="1"/>
    <col min="7200" max="7206" width="11.125" customWidth="1"/>
    <col min="7429" max="7429" width="19" customWidth="1"/>
    <col min="7431" max="7431" width="13" bestFit="1" customWidth="1"/>
    <col min="7434" max="7434" width="13" bestFit="1" customWidth="1"/>
    <col min="7436" max="7436" width="17.5" customWidth="1"/>
    <col min="7438" max="7438" width="13" bestFit="1" customWidth="1"/>
    <col min="7441" max="7441" width="13" bestFit="1" customWidth="1"/>
    <col min="7444" max="7444" width="13" bestFit="1" customWidth="1"/>
    <col min="7447" max="7447" width="13" bestFit="1" customWidth="1"/>
    <col min="7450" max="7450" width="13" bestFit="1" customWidth="1"/>
    <col min="7452" max="7452" width="11.125" customWidth="1"/>
    <col min="7455" max="7455" width="12.25" customWidth="1"/>
    <col min="7456" max="7462" width="11.125" customWidth="1"/>
    <col min="7685" max="7685" width="19" customWidth="1"/>
    <col min="7687" max="7687" width="13" bestFit="1" customWidth="1"/>
    <col min="7690" max="7690" width="13" bestFit="1" customWidth="1"/>
    <col min="7692" max="7692" width="17.5" customWidth="1"/>
    <col min="7694" max="7694" width="13" bestFit="1" customWidth="1"/>
    <col min="7697" max="7697" width="13" bestFit="1" customWidth="1"/>
    <col min="7700" max="7700" width="13" bestFit="1" customWidth="1"/>
    <col min="7703" max="7703" width="13" bestFit="1" customWidth="1"/>
    <col min="7706" max="7706" width="13" bestFit="1" customWidth="1"/>
    <col min="7708" max="7708" width="11.125" customWidth="1"/>
    <col min="7711" max="7711" width="12.25" customWidth="1"/>
    <col min="7712" max="7718" width="11.125" customWidth="1"/>
    <col min="7941" max="7941" width="19" customWidth="1"/>
    <col min="7943" max="7943" width="13" bestFit="1" customWidth="1"/>
    <col min="7946" max="7946" width="13" bestFit="1" customWidth="1"/>
    <col min="7948" max="7948" width="17.5" customWidth="1"/>
    <col min="7950" max="7950" width="13" bestFit="1" customWidth="1"/>
    <col min="7953" max="7953" width="13" bestFit="1" customWidth="1"/>
    <col min="7956" max="7956" width="13" bestFit="1" customWidth="1"/>
    <col min="7959" max="7959" width="13" bestFit="1" customWidth="1"/>
    <col min="7962" max="7962" width="13" bestFit="1" customWidth="1"/>
    <col min="7964" max="7964" width="11.125" customWidth="1"/>
    <col min="7967" max="7967" width="12.25" customWidth="1"/>
    <col min="7968" max="7974" width="11.125" customWidth="1"/>
    <col min="8197" max="8197" width="19" customWidth="1"/>
    <col min="8199" max="8199" width="13" bestFit="1" customWidth="1"/>
    <col min="8202" max="8202" width="13" bestFit="1" customWidth="1"/>
    <col min="8204" max="8204" width="17.5" customWidth="1"/>
    <col min="8206" max="8206" width="13" bestFit="1" customWidth="1"/>
    <col min="8209" max="8209" width="13" bestFit="1" customWidth="1"/>
    <col min="8212" max="8212" width="13" bestFit="1" customWidth="1"/>
    <col min="8215" max="8215" width="13" bestFit="1" customWidth="1"/>
    <col min="8218" max="8218" width="13" bestFit="1" customWidth="1"/>
    <col min="8220" max="8220" width="11.125" customWidth="1"/>
    <col min="8223" max="8223" width="12.25" customWidth="1"/>
    <col min="8224" max="8230" width="11.125" customWidth="1"/>
    <col min="8453" max="8453" width="19" customWidth="1"/>
    <col min="8455" max="8455" width="13" bestFit="1" customWidth="1"/>
    <col min="8458" max="8458" width="13" bestFit="1" customWidth="1"/>
    <col min="8460" max="8460" width="17.5" customWidth="1"/>
    <col min="8462" max="8462" width="13" bestFit="1" customWidth="1"/>
    <col min="8465" max="8465" width="13" bestFit="1" customWidth="1"/>
    <col min="8468" max="8468" width="13" bestFit="1" customWidth="1"/>
    <col min="8471" max="8471" width="13" bestFit="1" customWidth="1"/>
    <col min="8474" max="8474" width="13" bestFit="1" customWidth="1"/>
    <col min="8476" max="8476" width="11.125" customWidth="1"/>
    <col min="8479" max="8479" width="12.25" customWidth="1"/>
    <col min="8480" max="8486" width="11.125" customWidth="1"/>
    <col min="8709" max="8709" width="19" customWidth="1"/>
    <col min="8711" max="8711" width="13" bestFit="1" customWidth="1"/>
    <col min="8714" max="8714" width="13" bestFit="1" customWidth="1"/>
    <col min="8716" max="8716" width="17.5" customWidth="1"/>
    <col min="8718" max="8718" width="13" bestFit="1" customWidth="1"/>
    <col min="8721" max="8721" width="13" bestFit="1" customWidth="1"/>
    <col min="8724" max="8724" width="13" bestFit="1" customWidth="1"/>
    <col min="8727" max="8727" width="13" bestFit="1" customWidth="1"/>
    <col min="8730" max="8730" width="13" bestFit="1" customWidth="1"/>
    <col min="8732" max="8732" width="11.125" customWidth="1"/>
    <col min="8735" max="8735" width="12.25" customWidth="1"/>
    <col min="8736" max="8742" width="11.125" customWidth="1"/>
    <col min="8965" max="8965" width="19" customWidth="1"/>
    <col min="8967" max="8967" width="13" bestFit="1" customWidth="1"/>
    <col min="8970" max="8970" width="13" bestFit="1" customWidth="1"/>
    <col min="8972" max="8972" width="17.5" customWidth="1"/>
    <col min="8974" max="8974" width="13" bestFit="1" customWidth="1"/>
    <col min="8977" max="8977" width="13" bestFit="1" customWidth="1"/>
    <col min="8980" max="8980" width="13" bestFit="1" customWidth="1"/>
    <col min="8983" max="8983" width="13" bestFit="1" customWidth="1"/>
    <col min="8986" max="8986" width="13" bestFit="1" customWidth="1"/>
    <col min="8988" max="8988" width="11.125" customWidth="1"/>
    <col min="8991" max="8991" width="12.25" customWidth="1"/>
    <col min="8992" max="8998" width="11.125" customWidth="1"/>
    <col min="9221" max="9221" width="19" customWidth="1"/>
    <col min="9223" max="9223" width="13" bestFit="1" customWidth="1"/>
    <col min="9226" max="9226" width="13" bestFit="1" customWidth="1"/>
    <col min="9228" max="9228" width="17.5" customWidth="1"/>
    <col min="9230" max="9230" width="13" bestFit="1" customWidth="1"/>
    <col min="9233" max="9233" width="13" bestFit="1" customWidth="1"/>
    <col min="9236" max="9236" width="13" bestFit="1" customWidth="1"/>
    <col min="9239" max="9239" width="13" bestFit="1" customWidth="1"/>
    <col min="9242" max="9242" width="13" bestFit="1" customWidth="1"/>
    <col min="9244" max="9244" width="11.125" customWidth="1"/>
    <col min="9247" max="9247" width="12.25" customWidth="1"/>
    <col min="9248" max="9254" width="11.125" customWidth="1"/>
    <col min="9477" max="9477" width="19" customWidth="1"/>
    <col min="9479" max="9479" width="13" bestFit="1" customWidth="1"/>
    <col min="9482" max="9482" width="13" bestFit="1" customWidth="1"/>
    <col min="9484" max="9484" width="17.5" customWidth="1"/>
    <col min="9486" max="9486" width="13" bestFit="1" customWidth="1"/>
    <col min="9489" max="9489" width="13" bestFit="1" customWidth="1"/>
    <col min="9492" max="9492" width="13" bestFit="1" customWidth="1"/>
    <col min="9495" max="9495" width="13" bestFit="1" customWidth="1"/>
    <col min="9498" max="9498" width="13" bestFit="1" customWidth="1"/>
    <col min="9500" max="9500" width="11.125" customWidth="1"/>
    <col min="9503" max="9503" width="12.25" customWidth="1"/>
    <col min="9504" max="9510" width="11.125" customWidth="1"/>
    <col min="9733" max="9733" width="19" customWidth="1"/>
    <col min="9735" max="9735" width="13" bestFit="1" customWidth="1"/>
    <col min="9738" max="9738" width="13" bestFit="1" customWidth="1"/>
    <col min="9740" max="9740" width="17.5" customWidth="1"/>
    <col min="9742" max="9742" width="13" bestFit="1" customWidth="1"/>
    <col min="9745" max="9745" width="13" bestFit="1" customWidth="1"/>
    <col min="9748" max="9748" width="13" bestFit="1" customWidth="1"/>
    <col min="9751" max="9751" width="13" bestFit="1" customWidth="1"/>
    <col min="9754" max="9754" width="13" bestFit="1" customWidth="1"/>
    <col min="9756" max="9756" width="11.125" customWidth="1"/>
    <col min="9759" max="9759" width="12.25" customWidth="1"/>
    <col min="9760" max="9766" width="11.125" customWidth="1"/>
    <col min="9989" max="9989" width="19" customWidth="1"/>
    <col min="9991" max="9991" width="13" bestFit="1" customWidth="1"/>
    <col min="9994" max="9994" width="13" bestFit="1" customWidth="1"/>
    <col min="9996" max="9996" width="17.5" customWidth="1"/>
    <col min="9998" max="9998" width="13" bestFit="1" customWidth="1"/>
    <col min="10001" max="10001" width="13" bestFit="1" customWidth="1"/>
    <col min="10004" max="10004" width="13" bestFit="1" customWidth="1"/>
    <col min="10007" max="10007" width="13" bestFit="1" customWidth="1"/>
    <col min="10010" max="10010" width="13" bestFit="1" customWidth="1"/>
    <col min="10012" max="10012" width="11.125" customWidth="1"/>
    <col min="10015" max="10015" width="12.25" customWidth="1"/>
    <col min="10016" max="10022" width="11.125" customWidth="1"/>
    <col min="10245" max="10245" width="19" customWidth="1"/>
    <col min="10247" max="10247" width="13" bestFit="1" customWidth="1"/>
    <col min="10250" max="10250" width="13" bestFit="1" customWidth="1"/>
    <col min="10252" max="10252" width="17.5" customWidth="1"/>
    <col min="10254" max="10254" width="13" bestFit="1" customWidth="1"/>
    <col min="10257" max="10257" width="13" bestFit="1" customWidth="1"/>
    <col min="10260" max="10260" width="13" bestFit="1" customWidth="1"/>
    <col min="10263" max="10263" width="13" bestFit="1" customWidth="1"/>
    <col min="10266" max="10266" width="13" bestFit="1" customWidth="1"/>
    <col min="10268" max="10268" width="11.125" customWidth="1"/>
    <col min="10271" max="10271" width="12.25" customWidth="1"/>
    <col min="10272" max="10278" width="11.125" customWidth="1"/>
    <col min="10501" max="10501" width="19" customWidth="1"/>
    <col min="10503" max="10503" width="13" bestFit="1" customWidth="1"/>
    <col min="10506" max="10506" width="13" bestFit="1" customWidth="1"/>
    <col min="10508" max="10508" width="17.5" customWidth="1"/>
    <col min="10510" max="10510" width="13" bestFit="1" customWidth="1"/>
    <col min="10513" max="10513" width="13" bestFit="1" customWidth="1"/>
    <col min="10516" max="10516" width="13" bestFit="1" customWidth="1"/>
    <col min="10519" max="10519" width="13" bestFit="1" customWidth="1"/>
    <col min="10522" max="10522" width="13" bestFit="1" customWidth="1"/>
    <col min="10524" max="10524" width="11.125" customWidth="1"/>
    <col min="10527" max="10527" width="12.25" customWidth="1"/>
    <col min="10528" max="10534" width="11.125" customWidth="1"/>
    <col min="10757" max="10757" width="19" customWidth="1"/>
    <col min="10759" max="10759" width="13" bestFit="1" customWidth="1"/>
    <col min="10762" max="10762" width="13" bestFit="1" customWidth="1"/>
    <col min="10764" max="10764" width="17.5" customWidth="1"/>
    <col min="10766" max="10766" width="13" bestFit="1" customWidth="1"/>
    <col min="10769" max="10769" width="13" bestFit="1" customWidth="1"/>
    <col min="10772" max="10772" width="13" bestFit="1" customWidth="1"/>
    <col min="10775" max="10775" width="13" bestFit="1" customWidth="1"/>
    <col min="10778" max="10778" width="13" bestFit="1" customWidth="1"/>
    <col min="10780" max="10780" width="11.125" customWidth="1"/>
    <col min="10783" max="10783" width="12.25" customWidth="1"/>
    <col min="10784" max="10790" width="11.125" customWidth="1"/>
    <col min="11013" max="11013" width="19" customWidth="1"/>
    <col min="11015" max="11015" width="13" bestFit="1" customWidth="1"/>
    <col min="11018" max="11018" width="13" bestFit="1" customWidth="1"/>
    <col min="11020" max="11020" width="17.5" customWidth="1"/>
    <col min="11022" max="11022" width="13" bestFit="1" customWidth="1"/>
    <col min="11025" max="11025" width="13" bestFit="1" customWidth="1"/>
    <col min="11028" max="11028" width="13" bestFit="1" customWidth="1"/>
    <col min="11031" max="11031" width="13" bestFit="1" customWidth="1"/>
    <col min="11034" max="11034" width="13" bestFit="1" customWidth="1"/>
    <col min="11036" max="11036" width="11.125" customWidth="1"/>
    <col min="11039" max="11039" width="12.25" customWidth="1"/>
    <col min="11040" max="11046" width="11.125" customWidth="1"/>
    <col min="11269" max="11269" width="19" customWidth="1"/>
    <col min="11271" max="11271" width="13" bestFit="1" customWidth="1"/>
    <col min="11274" max="11274" width="13" bestFit="1" customWidth="1"/>
    <col min="11276" max="11276" width="17.5" customWidth="1"/>
    <col min="11278" max="11278" width="13" bestFit="1" customWidth="1"/>
    <col min="11281" max="11281" width="13" bestFit="1" customWidth="1"/>
    <col min="11284" max="11284" width="13" bestFit="1" customWidth="1"/>
    <col min="11287" max="11287" width="13" bestFit="1" customWidth="1"/>
    <col min="11290" max="11290" width="13" bestFit="1" customWidth="1"/>
    <col min="11292" max="11292" width="11.125" customWidth="1"/>
    <col min="11295" max="11295" width="12.25" customWidth="1"/>
    <col min="11296" max="11302" width="11.125" customWidth="1"/>
    <col min="11525" max="11525" width="19" customWidth="1"/>
    <col min="11527" max="11527" width="13" bestFit="1" customWidth="1"/>
    <col min="11530" max="11530" width="13" bestFit="1" customWidth="1"/>
    <col min="11532" max="11532" width="17.5" customWidth="1"/>
    <col min="11534" max="11534" width="13" bestFit="1" customWidth="1"/>
    <col min="11537" max="11537" width="13" bestFit="1" customWidth="1"/>
    <col min="11540" max="11540" width="13" bestFit="1" customWidth="1"/>
    <col min="11543" max="11543" width="13" bestFit="1" customWidth="1"/>
    <col min="11546" max="11546" width="13" bestFit="1" customWidth="1"/>
    <col min="11548" max="11548" width="11.125" customWidth="1"/>
    <col min="11551" max="11551" width="12.25" customWidth="1"/>
    <col min="11552" max="11558" width="11.125" customWidth="1"/>
    <col min="11781" max="11781" width="19" customWidth="1"/>
    <col min="11783" max="11783" width="13" bestFit="1" customWidth="1"/>
    <col min="11786" max="11786" width="13" bestFit="1" customWidth="1"/>
    <col min="11788" max="11788" width="17.5" customWidth="1"/>
    <col min="11790" max="11790" width="13" bestFit="1" customWidth="1"/>
    <col min="11793" max="11793" width="13" bestFit="1" customWidth="1"/>
    <col min="11796" max="11796" width="13" bestFit="1" customWidth="1"/>
    <col min="11799" max="11799" width="13" bestFit="1" customWidth="1"/>
    <col min="11802" max="11802" width="13" bestFit="1" customWidth="1"/>
    <col min="11804" max="11804" width="11.125" customWidth="1"/>
    <col min="11807" max="11807" width="12.25" customWidth="1"/>
    <col min="11808" max="11814" width="11.125" customWidth="1"/>
    <col min="12037" max="12037" width="19" customWidth="1"/>
    <col min="12039" max="12039" width="13" bestFit="1" customWidth="1"/>
    <col min="12042" max="12042" width="13" bestFit="1" customWidth="1"/>
    <col min="12044" max="12044" width="17.5" customWidth="1"/>
    <col min="12046" max="12046" width="13" bestFit="1" customWidth="1"/>
    <col min="12049" max="12049" width="13" bestFit="1" customWidth="1"/>
    <col min="12052" max="12052" width="13" bestFit="1" customWidth="1"/>
    <col min="12055" max="12055" width="13" bestFit="1" customWidth="1"/>
    <col min="12058" max="12058" width="13" bestFit="1" customWidth="1"/>
    <col min="12060" max="12060" width="11.125" customWidth="1"/>
    <col min="12063" max="12063" width="12.25" customWidth="1"/>
    <col min="12064" max="12070" width="11.125" customWidth="1"/>
    <col min="12293" max="12293" width="19" customWidth="1"/>
    <col min="12295" max="12295" width="13" bestFit="1" customWidth="1"/>
    <col min="12298" max="12298" width="13" bestFit="1" customWidth="1"/>
    <col min="12300" max="12300" width="17.5" customWidth="1"/>
    <col min="12302" max="12302" width="13" bestFit="1" customWidth="1"/>
    <col min="12305" max="12305" width="13" bestFit="1" customWidth="1"/>
    <col min="12308" max="12308" width="13" bestFit="1" customWidth="1"/>
    <col min="12311" max="12311" width="13" bestFit="1" customWidth="1"/>
    <col min="12314" max="12314" width="13" bestFit="1" customWidth="1"/>
    <col min="12316" max="12316" width="11.125" customWidth="1"/>
    <col min="12319" max="12319" width="12.25" customWidth="1"/>
    <col min="12320" max="12326" width="11.125" customWidth="1"/>
    <col min="12549" max="12549" width="19" customWidth="1"/>
    <col min="12551" max="12551" width="13" bestFit="1" customWidth="1"/>
    <col min="12554" max="12554" width="13" bestFit="1" customWidth="1"/>
    <col min="12556" max="12556" width="17.5" customWidth="1"/>
    <col min="12558" max="12558" width="13" bestFit="1" customWidth="1"/>
    <col min="12561" max="12561" width="13" bestFit="1" customWidth="1"/>
    <col min="12564" max="12564" width="13" bestFit="1" customWidth="1"/>
    <col min="12567" max="12567" width="13" bestFit="1" customWidth="1"/>
    <col min="12570" max="12570" width="13" bestFit="1" customWidth="1"/>
    <col min="12572" max="12572" width="11.125" customWidth="1"/>
    <col min="12575" max="12575" width="12.25" customWidth="1"/>
    <col min="12576" max="12582" width="11.125" customWidth="1"/>
    <col min="12805" max="12805" width="19" customWidth="1"/>
    <col min="12807" max="12807" width="13" bestFit="1" customWidth="1"/>
    <col min="12810" max="12810" width="13" bestFit="1" customWidth="1"/>
    <col min="12812" max="12812" width="17.5" customWidth="1"/>
    <col min="12814" max="12814" width="13" bestFit="1" customWidth="1"/>
    <col min="12817" max="12817" width="13" bestFit="1" customWidth="1"/>
    <col min="12820" max="12820" width="13" bestFit="1" customWidth="1"/>
    <col min="12823" max="12823" width="13" bestFit="1" customWidth="1"/>
    <col min="12826" max="12826" width="13" bestFit="1" customWidth="1"/>
    <col min="12828" max="12828" width="11.125" customWidth="1"/>
    <col min="12831" max="12831" width="12.25" customWidth="1"/>
    <col min="12832" max="12838" width="11.125" customWidth="1"/>
    <col min="13061" max="13061" width="19" customWidth="1"/>
    <col min="13063" max="13063" width="13" bestFit="1" customWidth="1"/>
    <col min="13066" max="13066" width="13" bestFit="1" customWidth="1"/>
    <col min="13068" max="13068" width="17.5" customWidth="1"/>
    <col min="13070" max="13070" width="13" bestFit="1" customWidth="1"/>
    <col min="13073" max="13073" width="13" bestFit="1" customWidth="1"/>
    <col min="13076" max="13076" width="13" bestFit="1" customWidth="1"/>
    <col min="13079" max="13079" width="13" bestFit="1" customWidth="1"/>
    <col min="13082" max="13082" width="13" bestFit="1" customWidth="1"/>
    <col min="13084" max="13084" width="11.125" customWidth="1"/>
    <col min="13087" max="13087" width="12.25" customWidth="1"/>
    <col min="13088" max="13094" width="11.125" customWidth="1"/>
    <col min="13317" max="13317" width="19" customWidth="1"/>
    <col min="13319" max="13319" width="13" bestFit="1" customWidth="1"/>
    <col min="13322" max="13322" width="13" bestFit="1" customWidth="1"/>
    <col min="13324" max="13324" width="17.5" customWidth="1"/>
    <col min="13326" max="13326" width="13" bestFit="1" customWidth="1"/>
    <col min="13329" max="13329" width="13" bestFit="1" customWidth="1"/>
    <col min="13332" max="13332" width="13" bestFit="1" customWidth="1"/>
    <col min="13335" max="13335" width="13" bestFit="1" customWidth="1"/>
    <col min="13338" max="13338" width="13" bestFit="1" customWidth="1"/>
    <col min="13340" max="13340" width="11.125" customWidth="1"/>
    <col min="13343" max="13343" width="12.25" customWidth="1"/>
    <col min="13344" max="13350" width="11.125" customWidth="1"/>
    <col min="13573" max="13573" width="19" customWidth="1"/>
    <col min="13575" max="13575" width="13" bestFit="1" customWidth="1"/>
    <col min="13578" max="13578" width="13" bestFit="1" customWidth="1"/>
    <col min="13580" max="13580" width="17.5" customWidth="1"/>
    <col min="13582" max="13582" width="13" bestFit="1" customWidth="1"/>
    <col min="13585" max="13585" width="13" bestFit="1" customWidth="1"/>
    <col min="13588" max="13588" width="13" bestFit="1" customWidth="1"/>
    <col min="13591" max="13591" width="13" bestFit="1" customWidth="1"/>
    <col min="13594" max="13594" width="13" bestFit="1" customWidth="1"/>
    <col min="13596" max="13596" width="11.125" customWidth="1"/>
    <col min="13599" max="13599" width="12.25" customWidth="1"/>
    <col min="13600" max="13606" width="11.125" customWidth="1"/>
    <col min="13829" max="13829" width="19" customWidth="1"/>
    <col min="13831" max="13831" width="13" bestFit="1" customWidth="1"/>
    <col min="13834" max="13834" width="13" bestFit="1" customWidth="1"/>
    <col min="13836" max="13836" width="17.5" customWidth="1"/>
    <col min="13838" max="13838" width="13" bestFit="1" customWidth="1"/>
    <col min="13841" max="13841" width="13" bestFit="1" customWidth="1"/>
    <col min="13844" max="13844" width="13" bestFit="1" customWidth="1"/>
    <col min="13847" max="13847" width="13" bestFit="1" customWidth="1"/>
    <col min="13850" max="13850" width="13" bestFit="1" customWidth="1"/>
    <col min="13852" max="13852" width="11.125" customWidth="1"/>
    <col min="13855" max="13855" width="12.25" customWidth="1"/>
    <col min="13856" max="13862" width="11.125" customWidth="1"/>
    <col min="14085" max="14085" width="19" customWidth="1"/>
    <col min="14087" max="14087" width="13" bestFit="1" customWidth="1"/>
    <col min="14090" max="14090" width="13" bestFit="1" customWidth="1"/>
    <col min="14092" max="14092" width="17.5" customWidth="1"/>
    <col min="14094" max="14094" width="13" bestFit="1" customWidth="1"/>
    <col min="14097" max="14097" width="13" bestFit="1" customWidth="1"/>
    <col min="14100" max="14100" width="13" bestFit="1" customWidth="1"/>
    <col min="14103" max="14103" width="13" bestFit="1" customWidth="1"/>
    <col min="14106" max="14106" width="13" bestFit="1" customWidth="1"/>
    <col min="14108" max="14108" width="11.125" customWidth="1"/>
    <col min="14111" max="14111" width="12.25" customWidth="1"/>
    <col min="14112" max="14118" width="11.125" customWidth="1"/>
    <col min="14341" max="14341" width="19" customWidth="1"/>
    <col min="14343" max="14343" width="13" bestFit="1" customWidth="1"/>
    <col min="14346" max="14346" width="13" bestFit="1" customWidth="1"/>
    <col min="14348" max="14348" width="17.5" customWidth="1"/>
    <col min="14350" max="14350" width="13" bestFit="1" customWidth="1"/>
    <col min="14353" max="14353" width="13" bestFit="1" customWidth="1"/>
    <col min="14356" max="14356" width="13" bestFit="1" customWidth="1"/>
    <col min="14359" max="14359" width="13" bestFit="1" customWidth="1"/>
    <col min="14362" max="14362" width="13" bestFit="1" customWidth="1"/>
    <col min="14364" max="14364" width="11.125" customWidth="1"/>
    <col min="14367" max="14367" width="12.25" customWidth="1"/>
    <col min="14368" max="14374" width="11.125" customWidth="1"/>
    <col min="14597" max="14597" width="19" customWidth="1"/>
    <col min="14599" max="14599" width="13" bestFit="1" customWidth="1"/>
    <col min="14602" max="14602" width="13" bestFit="1" customWidth="1"/>
    <col min="14604" max="14604" width="17.5" customWidth="1"/>
    <col min="14606" max="14606" width="13" bestFit="1" customWidth="1"/>
    <col min="14609" max="14609" width="13" bestFit="1" customWidth="1"/>
    <col min="14612" max="14612" width="13" bestFit="1" customWidth="1"/>
    <col min="14615" max="14615" width="13" bestFit="1" customWidth="1"/>
    <col min="14618" max="14618" width="13" bestFit="1" customWidth="1"/>
    <col min="14620" max="14620" width="11.125" customWidth="1"/>
    <col min="14623" max="14623" width="12.25" customWidth="1"/>
    <col min="14624" max="14630" width="11.125" customWidth="1"/>
    <col min="14853" max="14853" width="19" customWidth="1"/>
    <col min="14855" max="14855" width="13" bestFit="1" customWidth="1"/>
    <col min="14858" max="14858" width="13" bestFit="1" customWidth="1"/>
    <col min="14860" max="14860" width="17.5" customWidth="1"/>
    <col min="14862" max="14862" width="13" bestFit="1" customWidth="1"/>
    <col min="14865" max="14865" width="13" bestFit="1" customWidth="1"/>
    <col min="14868" max="14868" width="13" bestFit="1" customWidth="1"/>
    <col min="14871" max="14871" width="13" bestFit="1" customWidth="1"/>
    <col min="14874" max="14874" width="13" bestFit="1" customWidth="1"/>
    <col min="14876" max="14876" width="11.125" customWidth="1"/>
    <col min="14879" max="14879" width="12.25" customWidth="1"/>
    <col min="14880" max="14886" width="11.125" customWidth="1"/>
    <col min="15109" max="15109" width="19" customWidth="1"/>
    <col min="15111" max="15111" width="13" bestFit="1" customWidth="1"/>
    <col min="15114" max="15114" width="13" bestFit="1" customWidth="1"/>
    <col min="15116" max="15116" width="17.5" customWidth="1"/>
    <col min="15118" max="15118" width="13" bestFit="1" customWidth="1"/>
    <col min="15121" max="15121" width="13" bestFit="1" customWidth="1"/>
    <col min="15124" max="15124" width="13" bestFit="1" customWidth="1"/>
    <col min="15127" max="15127" width="13" bestFit="1" customWidth="1"/>
    <col min="15130" max="15130" width="13" bestFit="1" customWidth="1"/>
    <col min="15132" max="15132" width="11.125" customWidth="1"/>
    <col min="15135" max="15135" width="12.25" customWidth="1"/>
    <col min="15136" max="15142" width="11.125" customWidth="1"/>
    <col min="15365" max="15365" width="19" customWidth="1"/>
    <col min="15367" max="15367" width="13" bestFit="1" customWidth="1"/>
    <col min="15370" max="15370" width="13" bestFit="1" customWidth="1"/>
    <col min="15372" max="15372" width="17.5" customWidth="1"/>
    <col min="15374" max="15374" width="13" bestFit="1" customWidth="1"/>
    <col min="15377" max="15377" width="13" bestFit="1" customWidth="1"/>
    <col min="15380" max="15380" width="13" bestFit="1" customWidth="1"/>
    <col min="15383" max="15383" width="13" bestFit="1" customWidth="1"/>
    <col min="15386" max="15386" width="13" bestFit="1" customWidth="1"/>
    <col min="15388" max="15388" width="11.125" customWidth="1"/>
    <col min="15391" max="15391" width="12.25" customWidth="1"/>
    <col min="15392" max="15398" width="11.125" customWidth="1"/>
    <col min="15621" max="15621" width="19" customWidth="1"/>
    <col min="15623" max="15623" width="13" bestFit="1" customWidth="1"/>
    <col min="15626" max="15626" width="13" bestFit="1" customWidth="1"/>
    <col min="15628" max="15628" width="17.5" customWidth="1"/>
    <col min="15630" max="15630" width="13" bestFit="1" customWidth="1"/>
    <col min="15633" max="15633" width="13" bestFit="1" customWidth="1"/>
    <col min="15636" max="15636" width="13" bestFit="1" customWidth="1"/>
    <col min="15639" max="15639" width="13" bestFit="1" customWidth="1"/>
    <col min="15642" max="15642" width="13" bestFit="1" customWidth="1"/>
    <col min="15644" max="15644" width="11.125" customWidth="1"/>
    <col min="15647" max="15647" width="12.25" customWidth="1"/>
    <col min="15648" max="15654" width="11.125" customWidth="1"/>
    <col min="15877" max="15877" width="19" customWidth="1"/>
    <col min="15879" max="15879" width="13" bestFit="1" customWidth="1"/>
    <col min="15882" max="15882" width="13" bestFit="1" customWidth="1"/>
    <col min="15884" max="15884" width="17.5" customWidth="1"/>
    <col min="15886" max="15886" width="13" bestFit="1" customWidth="1"/>
    <col min="15889" max="15889" width="13" bestFit="1" customWidth="1"/>
    <col min="15892" max="15892" width="13" bestFit="1" customWidth="1"/>
    <col min="15895" max="15895" width="13" bestFit="1" customWidth="1"/>
    <col min="15898" max="15898" width="13" bestFit="1" customWidth="1"/>
    <col min="15900" max="15900" width="11.125" customWidth="1"/>
    <col min="15903" max="15903" width="12.25" customWidth="1"/>
    <col min="15904" max="15910" width="11.125" customWidth="1"/>
    <col min="16133" max="16133" width="19" customWidth="1"/>
    <col min="16135" max="16135" width="13" bestFit="1" customWidth="1"/>
    <col min="16138" max="16138" width="13" bestFit="1" customWidth="1"/>
    <col min="16140" max="16140" width="17.5" customWidth="1"/>
    <col min="16142" max="16142" width="13" bestFit="1" customWidth="1"/>
    <col min="16145" max="16145" width="13" bestFit="1" customWidth="1"/>
    <col min="16148" max="16148" width="13" bestFit="1" customWidth="1"/>
    <col min="16151" max="16151" width="13" bestFit="1" customWidth="1"/>
    <col min="16154" max="16154" width="13" bestFit="1" customWidth="1"/>
    <col min="16156" max="16156" width="11.125" customWidth="1"/>
    <col min="16159" max="16159" width="12.25" customWidth="1"/>
    <col min="16160" max="16166" width="11.125" customWidth="1"/>
  </cols>
  <sheetData>
    <row r="1" spans="1:38" x14ac:dyDescent="0.3">
      <c r="A1" s="67" t="s">
        <v>13</v>
      </c>
      <c r="B1" s="67" t="s">
        <v>14</v>
      </c>
      <c r="C1" s="67" t="s">
        <v>15</v>
      </c>
      <c r="D1" s="67" t="s">
        <v>16</v>
      </c>
      <c r="E1" s="67" t="s">
        <v>17</v>
      </c>
      <c r="F1" s="64" t="s">
        <v>18</v>
      </c>
      <c r="G1" s="66"/>
      <c r="H1" s="66"/>
      <c r="I1" s="66"/>
      <c r="J1" s="66"/>
      <c r="K1" s="66"/>
      <c r="L1" s="65"/>
      <c r="M1" s="64" t="s">
        <v>19</v>
      </c>
      <c r="N1" s="66"/>
      <c r="O1" s="66"/>
      <c r="P1" s="66"/>
      <c r="Q1" s="66"/>
      <c r="R1" s="66"/>
      <c r="S1" s="65"/>
      <c r="T1" s="64" t="s">
        <v>20</v>
      </c>
      <c r="U1" s="66"/>
      <c r="V1" s="66"/>
      <c r="W1" s="66"/>
      <c r="X1" s="66"/>
      <c r="Y1" s="65"/>
      <c r="Z1" s="64" t="s">
        <v>21</v>
      </c>
      <c r="AA1" s="66"/>
      <c r="AB1" s="66"/>
      <c r="AC1" s="65"/>
      <c r="AD1" s="67" t="s">
        <v>22</v>
      </c>
      <c r="AE1" s="67" t="s">
        <v>23</v>
      </c>
      <c r="AF1" s="64" t="s">
        <v>18</v>
      </c>
      <c r="AG1" s="65"/>
      <c r="AH1" s="64" t="s">
        <v>19</v>
      </c>
      <c r="AI1" s="65"/>
      <c r="AJ1" s="1" t="s">
        <v>20</v>
      </c>
      <c r="AK1" s="64" t="s">
        <v>21</v>
      </c>
      <c r="AL1" s="65"/>
    </row>
    <row r="2" spans="1:38" x14ac:dyDescent="0.3">
      <c r="A2" s="68"/>
      <c r="B2" s="68"/>
      <c r="C2" s="68"/>
      <c r="D2" s="68"/>
      <c r="E2" s="68"/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30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 s="1" t="s">
        <v>36</v>
      </c>
      <c r="S2" s="1" t="s">
        <v>29</v>
      </c>
      <c r="T2" s="1" t="s">
        <v>37</v>
      </c>
      <c r="U2" s="1" t="s">
        <v>38</v>
      </c>
      <c r="V2" s="1" t="s">
        <v>39</v>
      </c>
      <c r="W2" s="1" t="s">
        <v>40</v>
      </c>
      <c r="X2" s="1" t="s">
        <v>41</v>
      </c>
      <c r="Y2" s="1" t="s">
        <v>29</v>
      </c>
      <c r="Z2" s="1" t="s">
        <v>42</v>
      </c>
      <c r="AA2" s="1" t="s">
        <v>43</v>
      </c>
      <c r="AB2" s="1" t="s">
        <v>44</v>
      </c>
      <c r="AC2" s="1" t="s">
        <v>29</v>
      </c>
      <c r="AD2" s="68"/>
      <c r="AE2" s="68"/>
      <c r="AF2" s="1" t="s">
        <v>45</v>
      </c>
      <c r="AG2" s="1" t="s">
        <v>46</v>
      </c>
      <c r="AH2" s="1" t="s">
        <v>45</v>
      </c>
      <c r="AI2" s="1" t="s">
        <v>46</v>
      </c>
      <c r="AJ2" s="1" t="s">
        <v>47</v>
      </c>
      <c r="AK2" s="1" t="s">
        <v>45</v>
      </c>
      <c r="AL2" s="1" t="s">
        <v>46</v>
      </c>
    </row>
    <row r="3" spans="1:38" x14ac:dyDescent="0.3">
      <c r="A3" s="2" t="s">
        <v>48</v>
      </c>
      <c r="B3" s="2"/>
      <c r="C3" s="2"/>
      <c r="D3" s="2"/>
      <c r="E3" s="2"/>
      <c r="F3" s="3"/>
      <c r="G3" s="4"/>
      <c r="H3" s="5">
        <v>511390</v>
      </c>
      <c r="I3" s="2"/>
      <c r="J3" s="4"/>
      <c r="K3" s="2"/>
      <c r="L3" s="3"/>
      <c r="M3" s="4"/>
      <c r="N3" s="4"/>
      <c r="O3" s="5">
        <v>511390</v>
      </c>
      <c r="P3" s="2"/>
      <c r="Q3" s="4"/>
      <c r="R3" s="2"/>
      <c r="S3" s="2"/>
      <c r="T3" s="4"/>
      <c r="U3" s="5">
        <v>511390</v>
      </c>
      <c r="V3" s="2"/>
      <c r="W3" s="4"/>
      <c r="X3" s="2"/>
      <c r="Y3" s="2"/>
      <c r="Z3" s="4"/>
      <c r="AA3" s="4"/>
      <c r="AB3" s="2"/>
      <c r="AC3" s="2"/>
      <c r="AD3" s="2"/>
      <c r="AE3" s="4"/>
      <c r="AF3" s="2"/>
      <c r="AG3" s="2"/>
      <c r="AH3" s="2"/>
      <c r="AI3" s="2"/>
      <c r="AJ3" s="2"/>
      <c r="AK3" s="2"/>
      <c r="AL3" s="2"/>
    </row>
    <row r="4" spans="1:38" x14ac:dyDescent="0.3">
      <c r="A4" s="2" t="s">
        <v>49</v>
      </c>
      <c r="B4" s="2" t="s">
        <v>59</v>
      </c>
      <c r="C4" s="2" t="s">
        <v>50</v>
      </c>
      <c r="D4" s="2" t="s">
        <v>58</v>
      </c>
      <c r="E4" s="2" t="s">
        <v>66</v>
      </c>
      <c r="F4" s="3">
        <v>144</v>
      </c>
      <c r="G4" s="6">
        <v>43892</v>
      </c>
      <c r="H4" s="5">
        <v>94500</v>
      </c>
      <c r="I4" s="2" t="s">
        <v>51</v>
      </c>
      <c r="J4" s="6">
        <v>43892</v>
      </c>
      <c r="K4" s="2" t="s">
        <v>67</v>
      </c>
      <c r="L4" s="3">
        <v>0</v>
      </c>
      <c r="M4" s="7" t="s">
        <v>68</v>
      </c>
      <c r="N4" s="6">
        <v>43894</v>
      </c>
      <c r="O4" s="5">
        <v>94500</v>
      </c>
      <c r="P4" s="2" t="s">
        <v>52</v>
      </c>
      <c r="Q4" s="6">
        <v>43892</v>
      </c>
      <c r="R4" s="2" t="s">
        <v>53</v>
      </c>
      <c r="S4" s="2" t="s">
        <v>67</v>
      </c>
      <c r="T4" s="6">
        <v>43894</v>
      </c>
      <c r="U4" s="5">
        <v>94500</v>
      </c>
      <c r="V4" s="2" t="s">
        <v>54</v>
      </c>
      <c r="W4" s="6">
        <v>43894</v>
      </c>
      <c r="X4" s="2" t="s">
        <v>53</v>
      </c>
      <c r="Y4" s="2" t="s">
        <v>67</v>
      </c>
      <c r="Z4" s="6">
        <v>43894</v>
      </c>
      <c r="AA4" s="7" t="s">
        <v>69</v>
      </c>
      <c r="AB4" s="2" t="s">
        <v>55</v>
      </c>
      <c r="AC4" s="2" t="s">
        <v>67</v>
      </c>
      <c r="AD4" s="2" t="s">
        <v>56</v>
      </c>
      <c r="AE4" s="4"/>
      <c r="AF4" s="2" t="s">
        <v>57</v>
      </c>
      <c r="AG4" s="2" t="s">
        <v>60</v>
      </c>
      <c r="AH4" s="2" t="s">
        <v>57</v>
      </c>
      <c r="AI4" s="2" t="s">
        <v>61</v>
      </c>
      <c r="AJ4" s="2" t="s">
        <v>57</v>
      </c>
      <c r="AK4" s="2" t="s">
        <v>57</v>
      </c>
      <c r="AL4" s="2" t="s">
        <v>60</v>
      </c>
    </row>
    <row r="5" spans="1:38" x14ac:dyDescent="0.3">
      <c r="A5" s="2" t="s">
        <v>49</v>
      </c>
      <c r="B5" s="2" t="s">
        <v>59</v>
      </c>
      <c r="C5" s="2" t="s">
        <v>50</v>
      </c>
      <c r="D5" s="2" t="s">
        <v>78</v>
      </c>
      <c r="E5" s="2" t="s">
        <v>79</v>
      </c>
      <c r="F5" s="3">
        <v>168</v>
      </c>
      <c r="G5" s="6">
        <v>43901</v>
      </c>
      <c r="H5" s="5">
        <v>297890</v>
      </c>
      <c r="I5" s="2" t="s">
        <v>51</v>
      </c>
      <c r="J5" s="6">
        <v>43901</v>
      </c>
      <c r="K5" s="2" t="s">
        <v>80</v>
      </c>
      <c r="L5" s="3">
        <v>0</v>
      </c>
      <c r="M5" s="7" t="s">
        <v>81</v>
      </c>
      <c r="N5" s="6">
        <v>43902</v>
      </c>
      <c r="O5" s="5">
        <v>297890</v>
      </c>
      <c r="P5" s="2" t="s">
        <v>52</v>
      </c>
      <c r="Q5" s="6">
        <v>43901</v>
      </c>
      <c r="R5" s="2" t="s">
        <v>53</v>
      </c>
      <c r="S5" s="2" t="s">
        <v>80</v>
      </c>
      <c r="T5" s="6">
        <v>43906</v>
      </c>
      <c r="U5" s="5">
        <v>297890</v>
      </c>
      <c r="V5" s="2" t="s">
        <v>54</v>
      </c>
      <c r="W5" s="6">
        <v>43903</v>
      </c>
      <c r="X5" s="2" t="s">
        <v>53</v>
      </c>
      <c r="Y5" s="2" t="s">
        <v>80</v>
      </c>
      <c r="Z5" s="6">
        <v>43906</v>
      </c>
      <c r="AA5" s="7" t="s">
        <v>72</v>
      </c>
      <c r="AB5" s="2" t="s">
        <v>55</v>
      </c>
      <c r="AC5" s="2" t="s">
        <v>80</v>
      </c>
      <c r="AD5" s="2" t="s">
        <v>56</v>
      </c>
      <c r="AE5" s="4"/>
      <c r="AF5" s="2" t="s">
        <v>57</v>
      </c>
      <c r="AG5" s="2" t="s">
        <v>60</v>
      </c>
      <c r="AH5" s="2" t="s">
        <v>57</v>
      </c>
      <c r="AI5" s="2" t="s">
        <v>61</v>
      </c>
      <c r="AJ5" s="2" t="s">
        <v>57</v>
      </c>
      <c r="AK5" s="2" t="s">
        <v>57</v>
      </c>
      <c r="AL5" s="2" t="s">
        <v>60</v>
      </c>
    </row>
    <row r="6" spans="1:38" x14ac:dyDescent="0.3">
      <c r="A6" s="2" t="s">
        <v>49</v>
      </c>
      <c r="B6" s="2" t="s">
        <v>59</v>
      </c>
      <c r="C6" s="2" t="s">
        <v>50</v>
      </c>
      <c r="D6" s="2" t="s">
        <v>58</v>
      </c>
      <c r="E6" s="2" t="s">
        <v>70</v>
      </c>
      <c r="F6" s="3">
        <v>176</v>
      </c>
      <c r="G6" s="6">
        <v>43903</v>
      </c>
      <c r="H6" s="5">
        <v>55000</v>
      </c>
      <c r="I6" s="2" t="s">
        <v>51</v>
      </c>
      <c r="J6" s="6">
        <v>43903</v>
      </c>
      <c r="K6" s="2" t="s">
        <v>71</v>
      </c>
      <c r="L6" s="3">
        <v>0</v>
      </c>
      <c r="M6" s="7" t="s">
        <v>72</v>
      </c>
      <c r="N6" s="6">
        <v>43906</v>
      </c>
      <c r="O6" s="5">
        <v>55000</v>
      </c>
      <c r="P6" s="2" t="s">
        <v>52</v>
      </c>
      <c r="Q6" s="6">
        <v>43903</v>
      </c>
      <c r="R6" s="2" t="s">
        <v>53</v>
      </c>
      <c r="S6" s="2" t="s">
        <v>71</v>
      </c>
      <c r="T6" s="6">
        <v>43906</v>
      </c>
      <c r="U6" s="5">
        <v>55000</v>
      </c>
      <c r="V6" s="2" t="s">
        <v>54</v>
      </c>
      <c r="W6" s="6">
        <v>43906</v>
      </c>
      <c r="X6" s="2" t="s">
        <v>53</v>
      </c>
      <c r="Y6" s="2" t="s">
        <v>71</v>
      </c>
      <c r="Z6" s="6">
        <v>43906</v>
      </c>
      <c r="AA6" s="7" t="s">
        <v>73</v>
      </c>
      <c r="AB6" s="2" t="s">
        <v>55</v>
      </c>
      <c r="AC6" s="2" t="s">
        <v>71</v>
      </c>
      <c r="AD6" s="2" t="s">
        <v>56</v>
      </c>
      <c r="AE6" s="4"/>
      <c r="AF6" s="2" t="s">
        <v>57</v>
      </c>
      <c r="AG6" s="2" t="s">
        <v>60</v>
      </c>
      <c r="AH6" s="2" t="s">
        <v>57</v>
      </c>
      <c r="AI6" s="2" t="s">
        <v>61</v>
      </c>
      <c r="AJ6" s="2" t="s">
        <v>57</v>
      </c>
      <c r="AK6" s="2" t="s">
        <v>57</v>
      </c>
      <c r="AL6" s="2" t="s">
        <v>60</v>
      </c>
    </row>
    <row r="7" spans="1:38" x14ac:dyDescent="0.3">
      <c r="A7" s="2" t="s">
        <v>49</v>
      </c>
      <c r="B7" s="2" t="s">
        <v>59</v>
      </c>
      <c r="C7" s="2" t="s">
        <v>50</v>
      </c>
      <c r="D7" s="2" t="s">
        <v>58</v>
      </c>
      <c r="E7" s="2" t="s">
        <v>74</v>
      </c>
      <c r="F7" s="3">
        <v>197</v>
      </c>
      <c r="G7" s="6">
        <v>43912</v>
      </c>
      <c r="H7" s="5">
        <v>64000</v>
      </c>
      <c r="I7" s="2" t="s">
        <v>51</v>
      </c>
      <c r="J7" s="6">
        <v>43912</v>
      </c>
      <c r="K7" s="2" t="s">
        <v>75</v>
      </c>
      <c r="L7" s="3">
        <v>0</v>
      </c>
      <c r="M7" s="7" t="s">
        <v>76</v>
      </c>
      <c r="N7" s="6">
        <v>43913</v>
      </c>
      <c r="O7" s="5">
        <v>64000</v>
      </c>
      <c r="P7" s="2" t="s">
        <v>52</v>
      </c>
      <c r="Q7" s="6">
        <v>43912</v>
      </c>
      <c r="R7" s="2" t="s">
        <v>53</v>
      </c>
      <c r="S7" s="2" t="s">
        <v>75</v>
      </c>
      <c r="T7" s="6">
        <v>43914</v>
      </c>
      <c r="U7" s="5">
        <v>64000</v>
      </c>
      <c r="V7" s="2" t="s">
        <v>54</v>
      </c>
      <c r="W7" s="6">
        <v>43914</v>
      </c>
      <c r="X7" s="2" t="s">
        <v>53</v>
      </c>
      <c r="Y7" s="2" t="s">
        <v>75</v>
      </c>
      <c r="Z7" s="6">
        <v>43914</v>
      </c>
      <c r="AA7" s="7" t="s">
        <v>77</v>
      </c>
      <c r="AB7" s="2" t="s">
        <v>55</v>
      </c>
      <c r="AC7" s="2" t="s">
        <v>75</v>
      </c>
      <c r="AD7" s="2" t="s">
        <v>56</v>
      </c>
      <c r="AE7" s="4"/>
      <c r="AF7" s="2" t="s">
        <v>57</v>
      </c>
      <c r="AG7" s="2" t="s">
        <v>60</v>
      </c>
      <c r="AH7" s="2" t="s">
        <v>57</v>
      </c>
      <c r="AI7" s="2" t="s">
        <v>61</v>
      </c>
      <c r="AJ7" s="2" t="s">
        <v>57</v>
      </c>
      <c r="AK7" s="2" t="s">
        <v>57</v>
      </c>
      <c r="AL7" s="2" t="s">
        <v>60</v>
      </c>
    </row>
    <row r="8" spans="1:38" x14ac:dyDescent="0.3">
      <c r="A8" s="2"/>
      <c r="B8" s="2"/>
      <c r="C8" s="2"/>
      <c r="D8" s="2"/>
      <c r="E8" s="2"/>
      <c r="F8" s="3"/>
      <c r="G8" s="6"/>
      <c r="H8" s="5"/>
      <c r="I8" s="2"/>
      <c r="J8" s="6"/>
      <c r="K8" s="2"/>
      <c r="L8" s="3"/>
      <c r="M8" s="7"/>
      <c r="N8" s="6"/>
      <c r="O8" s="5"/>
      <c r="P8" s="2"/>
      <c r="Q8" s="6"/>
      <c r="R8" s="2"/>
      <c r="S8" s="2"/>
      <c r="T8" s="6"/>
      <c r="U8" s="5"/>
      <c r="V8" s="2"/>
      <c r="W8" s="6"/>
      <c r="X8" s="2"/>
      <c r="Y8" s="2"/>
      <c r="Z8" s="6"/>
      <c r="AA8" s="7"/>
      <c r="AB8" s="2"/>
      <c r="AC8" s="2"/>
      <c r="AD8" s="2"/>
      <c r="AE8" s="4"/>
      <c r="AF8" s="2"/>
      <c r="AG8" s="2"/>
      <c r="AH8" s="2"/>
      <c r="AI8" s="2"/>
      <c r="AJ8" s="2"/>
      <c r="AK8" s="2"/>
      <c r="AL8" s="2"/>
    </row>
    <row r="9" spans="1:38" x14ac:dyDescent="0.3">
      <c r="A9" s="2"/>
      <c r="B9" s="2"/>
      <c r="C9" s="2"/>
      <c r="D9" s="2"/>
      <c r="E9" s="2"/>
      <c r="F9" s="3"/>
      <c r="G9" s="6"/>
      <c r="H9" s="5"/>
      <c r="I9" s="2"/>
      <c r="J9" s="6"/>
      <c r="K9" s="2"/>
      <c r="L9" s="3"/>
      <c r="M9" s="7"/>
      <c r="N9" s="6"/>
      <c r="O9" s="5"/>
      <c r="P9" s="2"/>
      <c r="Q9" s="6"/>
      <c r="R9" s="2"/>
      <c r="S9" s="2"/>
      <c r="T9" s="6"/>
      <c r="U9" s="5"/>
      <c r="V9" s="2"/>
      <c r="W9" s="6"/>
      <c r="X9" s="2"/>
      <c r="Y9" s="2"/>
      <c r="Z9" s="6"/>
      <c r="AA9" s="7"/>
      <c r="AB9" s="2"/>
      <c r="AC9" s="2"/>
      <c r="AD9" s="2"/>
      <c r="AE9" s="4"/>
      <c r="AF9" s="2"/>
      <c r="AG9" s="2"/>
      <c r="AH9" s="2"/>
      <c r="AI9" s="2"/>
      <c r="AJ9" s="2"/>
      <c r="AK9" s="2"/>
      <c r="AL9" s="2"/>
    </row>
    <row r="10" spans="1:38" x14ac:dyDescent="0.3">
      <c r="A10" s="2"/>
      <c r="B10" s="2"/>
      <c r="C10" s="2"/>
      <c r="D10" s="2"/>
      <c r="E10" s="2"/>
      <c r="F10" s="3"/>
      <c r="G10" s="6"/>
      <c r="H10" s="5"/>
      <c r="I10" s="2"/>
      <c r="J10" s="6"/>
      <c r="K10" s="2"/>
      <c r="L10" s="3"/>
      <c r="M10" s="7"/>
      <c r="N10" s="6"/>
      <c r="O10" s="5"/>
      <c r="P10" s="2"/>
      <c r="Q10" s="6"/>
      <c r="R10" s="2"/>
      <c r="S10" s="2"/>
      <c r="T10" s="6"/>
      <c r="U10" s="5"/>
      <c r="V10" s="2"/>
      <c r="W10" s="6"/>
      <c r="X10" s="2"/>
      <c r="Y10" s="2"/>
      <c r="Z10" s="6"/>
      <c r="AA10" s="7"/>
      <c r="AB10" s="2"/>
      <c r="AC10" s="2"/>
      <c r="AD10" s="2"/>
      <c r="AE10" s="4"/>
      <c r="AF10" s="2"/>
      <c r="AG10" s="2"/>
      <c r="AH10" s="2"/>
      <c r="AI10" s="2"/>
      <c r="AJ10" s="2"/>
      <c r="AK10" s="2"/>
      <c r="AL10" s="2"/>
    </row>
    <row r="11" spans="1:38" x14ac:dyDescent="0.3">
      <c r="A11" s="2"/>
      <c r="B11" s="2"/>
      <c r="C11" s="2"/>
      <c r="D11" s="2"/>
      <c r="E11" s="2"/>
      <c r="F11" s="3"/>
      <c r="G11" s="6"/>
      <c r="H11" s="5"/>
      <c r="I11" s="2"/>
      <c r="J11" s="6"/>
      <c r="K11" s="2"/>
      <c r="L11" s="3"/>
      <c r="M11" s="7"/>
      <c r="N11" s="6"/>
      <c r="O11" s="5"/>
      <c r="P11" s="2"/>
      <c r="Q11" s="6"/>
      <c r="R11" s="2"/>
      <c r="S11" s="2"/>
      <c r="T11" s="6"/>
      <c r="U11" s="5"/>
      <c r="V11" s="2"/>
      <c r="W11" s="6"/>
      <c r="X11" s="2"/>
      <c r="Y11" s="2"/>
      <c r="Z11" s="6"/>
      <c r="AA11" s="7"/>
      <c r="AB11" s="2"/>
      <c r="AC11" s="2"/>
      <c r="AD11" s="2"/>
      <c r="AE11" s="4"/>
      <c r="AF11" s="2"/>
      <c r="AG11" s="2"/>
      <c r="AH11" s="2"/>
      <c r="AI11" s="2"/>
      <c r="AJ11" s="2"/>
      <c r="AK11" s="2"/>
      <c r="AL11" s="2"/>
    </row>
    <row r="12" spans="1:38" x14ac:dyDescent="0.3">
      <c r="A12" s="2"/>
      <c r="B12" s="2"/>
      <c r="C12" s="2"/>
      <c r="D12" s="2"/>
      <c r="E12" s="2"/>
      <c r="F12" s="3"/>
      <c r="G12" s="6"/>
      <c r="H12" s="5"/>
      <c r="I12" s="2"/>
      <c r="J12" s="6"/>
      <c r="K12" s="2"/>
      <c r="L12" s="3"/>
      <c r="M12" s="7"/>
      <c r="N12" s="6"/>
      <c r="O12" s="5"/>
      <c r="P12" s="2"/>
      <c r="Q12" s="6"/>
      <c r="R12" s="2"/>
      <c r="S12" s="2"/>
      <c r="T12" s="6"/>
      <c r="U12" s="5"/>
      <c r="V12" s="2"/>
      <c r="W12" s="6"/>
      <c r="X12" s="2"/>
      <c r="Y12" s="2"/>
      <c r="Z12" s="6"/>
      <c r="AA12" s="7"/>
      <c r="AB12" s="2"/>
      <c r="AC12" s="2"/>
      <c r="AD12" s="2"/>
      <c r="AE12" s="4"/>
      <c r="AF12" s="2"/>
      <c r="AG12" s="2"/>
      <c r="AH12" s="2"/>
      <c r="AI12" s="2"/>
      <c r="AJ12" s="2"/>
      <c r="AK12" s="2"/>
      <c r="AL12" s="2"/>
    </row>
    <row r="13" spans="1:38" x14ac:dyDescent="0.3">
      <c r="A13" s="2"/>
      <c r="B13" s="2"/>
      <c r="C13" s="2"/>
      <c r="D13" s="2"/>
      <c r="E13" s="2"/>
      <c r="F13" s="3"/>
      <c r="G13" s="6"/>
      <c r="H13" s="5"/>
      <c r="I13" s="2"/>
      <c r="J13" s="6"/>
      <c r="K13" s="2"/>
      <c r="L13" s="3"/>
      <c r="M13" s="7"/>
      <c r="N13" s="6"/>
      <c r="O13" s="5"/>
      <c r="P13" s="2"/>
      <c r="Q13" s="6"/>
      <c r="R13" s="2"/>
      <c r="S13" s="2"/>
      <c r="T13" s="6"/>
      <c r="U13" s="5"/>
      <c r="V13" s="2"/>
      <c r="W13" s="6"/>
      <c r="X13" s="2"/>
      <c r="Y13" s="2"/>
      <c r="Z13" s="6"/>
      <c r="AA13" s="7"/>
      <c r="AB13" s="2"/>
      <c r="AC13" s="2"/>
      <c r="AD13" s="2"/>
      <c r="AE13" s="4"/>
      <c r="AF13" s="2"/>
      <c r="AG13" s="2"/>
      <c r="AH13" s="2"/>
      <c r="AI13" s="2"/>
      <c r="AJ13" s="2"/>
      <c r="AK13" s="2"/>
      <c r="AL13" s="2"/>
    </row>
    <row r="14" spans="1:38" x14ac:dyDescent="0.3">
      <c r="A14" s="2"/>
      <c r="B14" s="2"/>
      <c r="C14" s="2"/>
      <c r="D14" s="2"/>
      <c r="E14" s="2"/>
      <c r="F14" s="3"/>
      <c r="G14" s="6"/>
      <c r="H14" s="5"/>
      <c r="I14" s="2"/>
      <c r="J14" s="6"/>
      <c r="K14" s="2"/>
      <c r="L14" s="3"/>
      <c r="M14" s="7"/>
      <c r="N14" s="6"/>
      <c r="O14" s="5"/>
      <c r="P14" s="2"/>
      <c r="Q14" s="6"/>
      <c r="R14" s="2"/>
      <c r="S14" s="2"/>
      <c r="T14" s="6"/>
      <c r="U14" s="5"/>
      <c r="V14" s="2"/>
      <c r="W14" s="6"/>
      <c r="X14" s="2"/>
      <c r="Y14" s="2"/>
      <c r="Z14" s="6"/>
      <c r="AA14" s="7"/>
      <c r="AB14" s="2"/>
      <c r="AC14" s="2"/>
      <c r="AD14" s="2"/>
      <c r="AE14" s="4"/>
      <c r="AF14" s="2"/>
      <c r="AG14" s="2"/>
      <c r="AH14" s="2"/>
      <c r="AI14" s="2"/>
      <c r="AJ14" s="2"/>
      <c r="AK14" s="2"/>
      <c r="AL14" s="2"/>
    </row>
    <row r="15" spans="1:38" x14ac:dyDescent="0.3">
      <c r="A15" s="2"/>
      <c r="B15" s="2"/>
      <c r="C15" s="2"/>
      <c r="D15" s="2"/>
      <c r="E15" s="2"/>
      <c r="F15" s="3"/>
      <c r="G15" s="6"/>
      <c r="H15" s="5"/>
      <c r="I15" s="2"/>
      <c r="J15" s="6"/>
      <c r="K15" s="2"/>
      <c r="L15" s="3"/>
      <c r="M15" s="7"/>
      <c r="N15" s="6"/>
      <c r="O15" s="5"/>
      <c r="P15" s="2"/>
      <c r="Q15" s="6"/>
      <c r="R15" s="2"/>
      <c r="S15" s="2"/>
      <c r="T15" s="6"/>
      <c r="U15" s="5"/>
      <c r="V15" s="2"/>
      <c r="W15" s="6"/>
      <c r="X15" s="2"/>
      <c r="Y15" s="2"/>
      <c r="Z15" s="6"/>
      <c r="AA15" s="7"/>
      <c r="AB15" s="2"/>
      <c r="AC15" s="2"/>
      <c r="AD15" s="2"/>
      <c r="AE15" s="4"/>
      <c r="AF15" s="2"/>
      <c r="AG15" s="2"/>
      <c r="AH15" s="2"/>
      <c r="AI15" s="2"/>
      <c r="AJ15" s="2"/>
      <c r="AK15" s="2"/>
      <c r="AL15" s="2"/>
    </row>
    <row r="16" spans="1:38" x14ac:dyDescent="0.3">
      <c r="A16" s="2"/>
      <c r="B16" s="2"/>
      <c r="C16" s="2"/>
      <c r="D16" s="2"/>
      <c r="E16" s="2"/>
      <c r="F16" s="3"/>
      <c r="G16" s="6"/>
      <c r="H16" s="5"/>
      <c r="I16" s="2"/>
      <c r="J16" s="6"/>
      <c r="K16" s="2"/>
      <c r="L16" s="3"/>
      <c r="M16" s="7"/>
      <c r="N16" s="6"/>
      <c r="O16" s="5"/>
      <c r="P16" s="2"/>
      <c r="Q16" s="6"/>
      <c r="R16" s="2"/>
      <c r="S16" s="2"/>
      <c r="T16" s="6"/>
      <c r="U16" s="5"/>
      <c r="V16" s="2"/>
      <c r="W16" s="6"/>
      <c r="X16" s="2"/>
      <c r="Y16" s="2"/>
      <c r="Z16" s="6"/>
      <c r="AA16" s="7"/>
      <c r="AB16" s="2"/>
      <c r="AC16" s="2"/>
      <c r="AD16" s="2"/>
      <c r="AE16" s="4"/>
      <c r="AF16" s="2"/>
      <c r="AG16" s="2"/>
      <c r="AH16" s="2"/>
      <c r="AI16" s="2"/>
      <c r="AJ16" s="2"/>
      <c r="AK16" s="2"/>
      <c r="AL16" s="2"/>
    </row>
    <row r="17" spans="1:38" x14ac:dyDescent="0.3">
      <c r="A17" s="2"/>
      <c r="B17" s="2"/>
      <c r="C17" s="2"/>
      <c r="D17" s="2"/>
      <c r="E17" s="2"/>
      <c r="F17" s="3"/>
      <c r="G17" s="6"/>
      <c r="H17" s="5"/>
      <c r="I17" s="2"/>
      <c r="J17" s="6"/>
      <c r="K17" s="2"/>
      <c r="L17" s="3"/>
      <c r="M17" s="7"/>
      <c r="N17" s="6"/>
      <c r="O17" s="5"/>
      <c r="P17" s="2"/>
      <c r="Q17" s="6"/>
      <c r="R17" s="2"/>
      <c r="S17" s="2"/>
      <c r="T17" s="6"/>
      <c r="U17" s="5"/>
      <c r="V17" s="2"/>
      <c r="W17" s="6"/>
      <c r="X17" s="2"/>
      <c r="Y17" s="2"/>
      <c r="Z17" s="6"/>
      <c r="AA17" s="7"/>
      <c r="AB17" s="2"/>
      <c r="AC17" s="2"/>
      <c r="AD17" s="2"/>
      <c r="AE17" s="4"/>
      <c r="AF17" s="2"/>
      <c r="AG17" s="2"/>
      <c r="AH17" s="2"/>
      <c r="AI17" s="2"/>
      <c r="AJ17" s="2"/>
      <c r="AK17" s="2"/>
      <c r="AL17" s="2"/>
    </row>
    <row r="18" spans="1:38" x14ac:dyDescent="0.3">
      <c r="A18" s="2"/>
      <c r="B18" s="2"/>
      <c r="C18" s="2"/>
      <c r="D18" s="2"/>
      <c r="E18" s="2"/>
      <c r="F18" s="3"/>
      <c r="G18" s="6"/>
      <c r="H18" s="5"/>
      <c r="I18" s="2"/>
      <c r="J18" s="6"/>
      <c r="K18" s="2"/>
      <c r="L18" s="3"/>
      <c r="M18" s="7"/>
      <c r="N18" s="6"/>
      <c r="O18" s="5"/>
      <c r="P18" s="2"/>
      <c r="Q18" s="6"/>
      <c r="R18" s="2"/>
      <c r="S18" s="2"/>
      <c r="T18" s="6"/>
      <c r="U18" s="5"/>
      <c r="V18" s="2"/>
      <c r="W18" s="6"/>
      <c r="X18" s="2"/>
      <c r="Y18" s="2"/>
      <c r="Z18" s="6"/>
      <c r="AA18" s="7"/>
      <c r="AB18" s="2"/>
      <c r="AC18" s="2"/>
      <c r="AD18" s="2"/>
      <c r="AE18" s="4"/>
      <c r="AF18" s="2"/>
      <c r="AG18" s="2"/>
      <c r="AH18" s="2"/>
      <c r="AI18" s="2"/>
      <c r="AJ18" s="2"/>
      <c r="AK18" s="2"/>
      <c r="AL18" s="2"/>
    </row>
    <row r="19" spans="1:38" x14ac:dyDescent="0.3">
      <c r="A19" s="2"/>
      <c r="B19" s="2"/>
      <c r="C19" s="2"/>
      <c r="D19" s="2"/>
      <c r="E19" s="2"/>
      <c r="F19" s="3"/>
      <c r="G19" s="6"/>
      <c r="H19" s="5"/>
      <c r="I19" s="2"/>
      <c r="J19" s="6"/>
      <c r="K19" s="2"/>
      <c r="L19" s="3"/>
      <c r="M19" s="7"/>
      <c r="N19" s="6"/>
      <c r="O19" s="5"/>
      <c r="P19" s="2"/>
      <c r="Q19" s="6"/>
      <c r="R19" s="2"/>
      <c r="S19" s="2"/>
      <c r="T19" s="6"/>
      <c r="U19" s="5"/>
      <c r="V19" s="2"/>
      <c r="W19" s="6"/>
      <c r="X19" s="2"/>
      <c r="Y19" s="2"/>
      <c r="Z19" s="6"/>
      <c r="AA19" s="7"/>
      <c r="AB19" s="2"/>
      <c r="AC19" s="2"/>
      <c r="AD19" s="2"/>
      <c r="AE19" s="4"/>
      <c r="AF19" s="2"/>
      <c r="AG19" s="2"/>
      <c r="AH19" s="2"/>
      <c r="AI19" s="2"/>
      <c r="AJ19" s="2"/>
      <c r="AK19" s="2"/>
      <c r="AL19" s="2"/>
    </row>
    <row r="20" spans="1:38" x14ac:dyDescent="0.3">
      <c r="A20" s="2"/>
      <c r="B20" s="2"/>
      <c r="C20" s="2"/>
      <c r="D20" s="2"/>
      <c r="E20" s="2"/>
      <c r="F20" s="3"/>
      <c r="G20" s="6"/>
      <c r="H20" s="5"/>
      <c r="I20" s="2"/>
      <c r="J20" s="6"/>
      <c r="K20" s="2"/>
      <c r="L20" s="3"/>
      <c r="M20" s="7"/>
      <c r="N20" s="6"/>
      <c r="O20" s="5"/>
      <c r="P20" s="2"/>
      <c r="Q20" s="6"/>
      <c r="R20" s="2"/>
      <c r="S20" s="2"/>
      <c r="T20" s="6"/>
      <c r="U20" s="5"/>
      <c r="V20" s="2"/>
      <c r="W20" s="6"/>
      <c r="X20" s="2"/>
      <c r="Y20" s="2"/>
      <c r="Z20" s="6"/>
      <c r="AA20" s="7"/>
      <c r="AB20" s="2"/>
      <c r="AC20" s="2"/>
      <c r="AD20" s="2"/>
      <c r="AE20" s="4"/>
      <c r="AF20" s="2"/>
      <c r="AG20" s="2"/>
      <c r="AH20" s="2"/>
      <c r="AI20" s="2"/>
      <c r="AJ20" s="2"/>
      <c r="AK20" s="2"/>
      <c r="AL20" s="2"/>
    </row>
    <row r="21" spans="1:38" x14ac:dyDescent="0.3">
      <c r="A21" s="2"/>
      <c r="B21" s="2"/>
      <c r="C21" s="2"/>
      <c r="D21" s="2"/>
      <c r="E21" s="2"/>
      <c r="F21" s="3"/>
      <c r="G21" s="6"/>
      <c r="H21" s="5"/>
      <c r="I21" s="2"/>
      <c r="J21" s="6"/>
      <c r="K21" s="2"/>
      <c r="L21" s="3"/>
      <c r="M21" s="7"/>
      <c r="N21" s="6"/>
      <c r="O21" s="5"/>
      <c r="P21" s="2"/>
      <c r="Q21" s="6"/>
      <c r="R21" s="2"/>
      <c r="S21" s="2"/>
      <c r="T21" s="6"/>
      <c r="U21" s="5"/>
      <c r="V21" s="2"/>
      <c r="W21" s="6"/>
      <c r="X21" s="2"/>
      <c r="Y21" s="2"/>
      <c r="Z21" s="6"/>
      <c r="AA21" s="7"/>
      <c r="AB21" s="2"/>
      <c r="AC21" s="2"/>
      <c r="AD21" s="2"/>
      <c r="AE21" s="4"/>
      <c r="AF21" s="2"/>
      <c r="AG21" s="2"/>
      <c r="AH21" s="2"/>
      <c r="AI21" s="2"/>
      <c r="AJ21" s="2"/>
      <c r="AK21" s="2"/>
      <c r="AL21" s="2"/>
    </row>
    <row r="22" spans="1:38" x14ac:dyDescent="0.3">
      <c r="A22" s="2"/>
      <c r="B22" s="2"/>
      <c r="C22" s="2"/>
      <c r="D22" s="2"/>
      <c r="E22" s="2"/>
      <c r="F22" s="3"/>
      <c r="G22" s="6"/>
      <c r="H22" s="5"/>
      <c r="I22" s="2"/>
      <c r="J22" s="6"/>
      <c r="K22" s="2"/>
      <c r="L22" s="3"/>
      <c r="M22" s="7"/>
      <c r="N22" s="6"/>
      <c r="O22" s="5"/>
      <c r="P22" s="2"/>
      <c r="Q22" s="6"/>
      <c r="R22" s="2"/>
      <c r="S22" s="2"/>
      <c r="T22" s="6"/>
      <c r="U22" s="5"/>
      <c r="V22" s="2"/>
      <c r="W22" s="6"/>
      <c r="X22" s="2"/>
      <c r="Y22" s="2"/>
      <c r="Z22" s="6"/>
      <c r="AA22" s="7"/>
      <c r="AB22" s="2"/>
      <c r="AC22" s="2"/>
      <c r="AD22" s="2"/>
      <c r="AE22" s="4"/>
      <c r="AF22" s="2"/>
      <c r="AG22" s="2"/>
      <c r="AH22" s="2"/>
      <c r="AI22" s="2"/>
      <c r="AJ22" s="2"/>
      <c r="AK22" s="2"/>
      <c r="AL22" s="2"/>
    </row>
    <row r="23" spans="1:38" x14ac:dyDescent="0.3">
      <c r="A23" s="2"/>
      <c r="B23" s="2"/>
      <c r="C23" s="2"/>
      <c r="D23" s="2"/>
      <c r="E23" s="2"/>
      <c r="F23" s="3"/>
      <c r="G23" s="6"/>
      <c r="H23" s="5"/>
      <c r="I23" s="2"/>
      <c r="J23" s="6"/>
      <c r="K23" s="2"/>
      <c r="L23" s="3"/>
      <c r="M23" s="7"/>
      <c r="N23" s="6"/>
      <c r="O23" s="5"/>
      <c r="P23" s="2"/>
      <c r="Q23" s="6"/>
      <c r="R23" s="2"/>
      <c r="S23" s="2"/>
      <c r="T23" s="6"/>
      <c r="U23" s="5"/>
      <c r="V23" s="2"/>
      <c r="W23" s="6"/>
      <c r="X23" s="2"/>
      <c r="Y23" s="2"/>
      <c r="Z23" s="6"/>
      <c r="AA23" s="7"/>
      <c r="AB23" s="2"/>
      <c r="AC23" s="2"/>
      <c r="AD23" s="2"/>
      <c r="AE23" s="4"/>
      <c r="AF23" s="2"/>
      <c r="AG23" s="2"/>
      <c r="AH23" s="2"/>
      <c r="AI23" s="2"/>
      <c r="AJ23" s="2"/>
      <c r="AK23" s="2"/>
      <c r="AL23" s="2"/>
    </row>
    <row r="24" spans="1:38" x14ac:dyDescent="0.3">
      <c r="A24" s="2"/>
      <c r="B24" s="2"/>
      <c r="C24" s="2"/>
      <c r="D24" s="2"/>
      <c r="E24" s="2"/>
      <c r="F24" s="3"/>
      <c r="G24" s="6"/>
      <c r="H24" s="5"/>
      <c r="I24" s="2"/>
      <c r="J24" s="6"/>
      <c r="K24" s="2"/>
      <c r="L24" s="3"/>
      <c r="M24" s="7"/>
      <c r="N24" s="6"/>
      <c r="O24" s="5"/>
      <c r="P24" s="2"/>
      <c r="Q24" s="6"/>
      <c r="R24" s="2"/>
      <c r="S24" s="2"/>
      <c r="T24" s="6"/>
      <c r="U24" s="5"/>
      <c r="V24" s="2"/>
      <c r="W24" s="6"/>
      <c r="X24" s="2"/>
      <c r="Y24" s="2"/>
      <c r="Z24" s="6"/>
      <c r="AA24" s="7"/>
      <c r="AB24" s="2"/>
      <c r="AC24" s="2"/>
      <c r="AD24" s="2"/>
      <c r="AE24" s="4"/>
      <c r="AF24" s="2"/>
      <c r="AG24" s="2"/>
      <c r="AH24" s="2"/>
      <c r="AI24" s="2"/>
      <c r="AJ24" s="2"/>
      <c r="AK24" s="2"/>
      <c r="AL24" s="2"/>
    </row>
    <row r="25" spans="1:38" x14ac:dyDescent="0.3">
      <c r="A25" s="2"/>
      <c r="B25" s="2"/>
      <c r="C25" s="2"/>
      <c r="D25" s="2"/>
      <c r="E25" s="2"/>
      <c r="F25" s="3"/>
      <c r="G25" s="6"/>
      <c r="H25" s="5"/>
      <c r="I25" s="2"/>
      <c r="J25" s="6"/>
      <c r="K25" s="2"/>
      <c r="L25" s="3"/>
      <c r="M25" s="7"/>
      <c r="N25" s="6"/>
      <c r="O25" s="5"/>
      <c r="P25" s="2"/>
      <c r="Q25" s="6"/>
      <c r="R25" s="2"/>
      <c r="S25" s="2"/>
      <c r="T25" s="6"/>
      <c r="U25" s="5"/>
      <c r="V25" s="2"/>
      <c r="W25" s="6"/>
      <c r="X25" s="2"/>
      <c r="Y25" s="2"/>
      <c r="Z25" s="6"/>
      <c r="AA25" s="7"/>
      <c r="AB25" s="2"/>
      <c r="AC25" s="2"/>
      <c r="AD25" s="2"/>
      <c r="AE25" s="4"/>
      <c r="AF25" s="2"/>
      <c r="AG25" s="2"/>
      <c r="AH25" s="2"/>
      <c r="AI25" s="2"/>
      <c r="AJ25" s="2"/>
      <c r="AK25" s="2"/>
      <c r="AL25" s="2"/>
    </row>
    <row r="26" spans="1:38" x14ac:dyDescent="0.3">
      <c r="A26" s="2"/>
      <c r="B26" s="2"/>
      <c r="C26" s="2"/>
      <c r="D26" s="2"/>
      <c r="E26" s="2"/>
      <c r="F26" s="3"/>
      <c r="G26" s="6"/>
      <c r="H26" s="5"/>
      <c r="I26" s="2"/>
      <c r="J26" s="6"/>
      <c r="K26" s="2"/>
      <c r="L26" s="3"/>
      <c r="M26" s="7"/>
      <c r="N26" s="6"/>
      <c r="O26" s="5"/>
      <c r="P26" s="2"/>
      <c r="Q26" s="6"/>
      <c r="R26" s="2"/>
      <c r="S26" s="2"/>
      <c r="T26" s="6"/>
      <c r="U26" s="5"/>
      <c r="V26" s="2"/>
      <c r="W26" s="6"/>
      <c r="X26" s="2"/>
      <c r="Y26" s="2"/>
      <c r="Z26" s="6"/>
      <c r="AA26" s="7"/>
      <c r="AB26" s="2"/>
      <c r="AC26" s="2"/>
      <c r="AD26" s="2"/>
      <c r="AE26" s="4"/>
      <c r="AF26" s="2"/>
      <c r="AG26" s="2"/>
      <c r="AH26" s="2"/>
      <c r="AI26" s="2"/>
      <c r="AJ26" s="2"/>
      <c r="AK26" s="2"/>
      <c r="AL26" s="2"/>
    </row>
    <row r="27" spans="1:38" x14ac:dyDescent="0.3">
      <c r="A27" s="2"/>
      <c r="B27" s="2"/>
      <c r="C27" s="2"/>
      <c r="D27" s="2"/>
      <c r="E27" s="2"/>
      <c r="F27" s="3"/>
      <c r="G27" s="6"/>
      <c r="H27" s="5"/>
      <c r="I27" s="2"/>
      <c r="J27" s="6"/>
      <c r="K27" s="2"/>
      <c r="L27" s="3"/>
      <c r="M27" s="7"/>
      <c r="N27" s="6"/>
      <c r="O27" s="5"/>
      <c r="P27" s="2"/>
      <c r="Q27" s="6"/>
      <c r="R27" s="2"/>
      <c r="S27" s="2"/>
      <c r="T27" s="6"/>
      <c r="U27" s="5"/>
      <c r="V27" s="2"/>
      <c r="W27" s="6"/>
      <c r="X27" s="2"/>
      <c r="Y27" s="2"/>
      <c r="Z27" s="6"/>
      <c r="AA27" s="7"/>
      <c r="AB27" s="2"/>
      <c r="AC27" s="2"/>
      <c r="AD27" s="2"/>
      <c r="AE27" s="4"/>
      <c r="AF27" s="2"/>
      <c r="AG27" s="2"/>
      <c r="AH27" s="2"/>
      <c r="AI27" s="2"/>
      <c r="AJ27" s="2"/>
      <c r="AK27" s="2"/>
      <c r="AL27" s="2"/>
    </row>
    <row r="28" spans="1:38" x14ac:dyDescent="0.3">
      <c r="A28" s="2"/>
      <c r="B28" s="2"/>
      <c r="C28" s="2"/>
      <c r="D28" s="2"/>
      <c r="E28" s="2"/>
      <c r="F28" s="3"/>
      <c r="G28" s="6"/>
      <c r="H28" s="5"/>
      <c r="I28" s="2"/>
      <c r="J28" s="6"/>
      <c r="K28" s="2"/>
      <c r="L28" s="3"/>
      <c r="M28" s="7"/>
      <c r="N28" s="6"/>
      <c r="O28" s="5"/>
      <c r="P28" s="2"/>
      <c r="Q28" s="6"/>
      <c r="R28" s="2"/>
      <c r="S28" s="2"/>
      <c r="T28" s="6"/>
      <c r="U28" s="5"/>
      <c r="V28" s="2"/>
      <c r="W28" s="6"/>
      <c r="X28" s="2"/>
      <c r="Y28" s="2"/>
      <c r="Z28" s="6"/>
      <c r="AA28" s="7"/>
      <c r="AB28" s="2"/>
      <c r="AC28" s="2"/>
      <c r="AD28" s="2"/>
      <c r="AE28" s="4"/>
      <c r="AF28" s="2"/>
      <c r="AG28" s="2"/>
      <c r="AH28" s="2"/>
      <c r="AI28" s="2"/>
      <c r="AJ28" s="2"/>
      <c r="AK28" s="2"/>
      <c r="AL28" s="2"/>
    </row>
    <row r="29" spans="1:38" x14ac:dyDescent="0.3">
      <c r="A29" s="2"/>
      <c r="B29" s="2"/>
      <c r="C29" s="2"/>
      <c r="D29" s="2"/>
      <c r="E29" s="2"/>
      <c r="F29" s="3"/>
      <c r="G29" s="6"/>
      <c r="H29" s="5"/>
      <c r="I29" s="2"/>
      <c r="J29" s="6"/>
      <c r="K29" s="2"/>
      <c r="L29" s="3"/>
      <c r="M29" s="7"/>
      <c r="N29" s="6"/>
      <c r="O29" s="5"/>
      <c r="P29" s="2"/>
      <c r="Q29" s="6"/>
      <c r="R29" s="2"/>
      <c r="S29" s="2"/>
      <c r="T29" s="6"/>
      <c r="U29" s="5"/>
      <c r="V29" s="2"/>
      <c r="W29" s="6"/>
      <c r="X29" s="2"/>
      <c r="Y29" s="2"/>
      <c r="Z29" s="6"/>
      <c r="AA29" s="7"/>
      <c r="AB29" s="2"/>
      <c r="AC29" s="2"/>
      <c r="AD29" s="2"/>
      <c r="AE29" s="4"/>
      <c r="AF29" s="2"/>
      <c r="AG29" s="2"/>
      <c r="AH29" s="2"/>
      <c r="AI29" s="2"/>
      <c r="AJ29" s="2"/>
      <c r="AK29" s="2"/>
      <c r="AL29" s="2"/>
    </row>
    <row r="30" spans="1:38" x14ac:dyDescent="0.3">
      <c r="A30" s="2"/>
      <c r="B30" s="2"/>
      <c r="C30" s="2"/>
      <c r="D30" s="2"/>
      <c r="E30" s="2"/>
      <c r="F30" s="3"/>
      <c r="G30" s="6"/>
      <c r="H30" s="5"/>
      <c r="I30" s="2"/>
      <c r="J30" s="6"/>
      <c r="K30" s="2"/>
      <c r="L30" s="3"/>
      <c r="M30" s="7"/>
      <c r="N30" s="6"/>
      <c r="O30" s="5"/>
      <c r="P30" s="2"/>
      <c r="Q30" s="6"/>
      <c r="R30" s="2"/>
      <c r="S30" s="2"/>
      <c r="T30" s="6"/>
      <c r="U30" s="5"/>
      <c r="V30" s="2"/>
      <c r="W30" s="6"/>
      <c r="X30" s="2"/>
      <c r="Y30" s="2"/>
      <c r="Z30" s="6"/>
      <c r="AA30" s="7"/>
      <c r="AB30" s="2"/>
      <c r="AC30" s="2"/>
      <c r="AD30" s="2"/>
      <c r="AE30" s="4"/>
      <c r="AF30" s="2"/>
      <c r="AG30" s="2"/>
      <c r="AH30" s="2"/>
      <c r="AI30" s="2"/>
      <c r="AJ30" s="2"/>
      <c r="AK30" s="2"/>
      <c r="AL30" s="2"/>
    </row>
    <row r="31" spans="1:38" x14ac:dyDescent="0.3">
      <c r="A31" s="2"/>
      <c r="B31" s="2"/>
      <c r="C31" s="2"/>
      <c r="D31" s="2"/>
      <c r="E31" s="2"/>
      <c r="F31" s="3"/>
      <c r="G31" s="6"/>
      <c r="H31" s="5"/>
      <c r="I31" s="2"/>
      <c r="J31" s="6"/>
      <c r="K31" s="2"/>
      <c r="L31" s="3"/>
      <c r="M31" s="7"/>
      <c r="N31" s="6"/>
      <c r="O31" s="5"/>
      <c r="P31" s="2"/>
      <c r="Q31" s="6"/>
      <c r="R31" s="2"/>
      <c r="S31" s="2"/>
      <c r="T31" s="6"/>
      <c r="U31" s="5"/>
      <c r="V31" s="2"/>
      <c r="W31" s="6"/>
      <c r="X31" s="2"/>
      <c r="Y31" s="2"/>
      <c r="Z31" s="6"/>
      <c r="AA31" s="7"/>
      <c r="AB31" s="2"/>
      <c r="AC31" s="2"/>
      <c r="AD31" s="2"/>
      <c r="AE31" s="4"/>
      <c r="AF31" s="2"/>
      <c r="AG31" s="2"/>
      <c r="AH31" s="2"/>
      <c r="AI31" s="2"/>
      <c r="AJ31" s="2"/>
      <c r="AK31" s="2"/>
      <c r="AL31" s="2"/>
    </row>
  </sheetData>
  <autoFilter ref="A2:AL2" xr:uid="{00000000-0009-0000-0000-000001000000}"/>
  <mergeCells count="14">
    <mergeCell ref="F1:L1"/>
    <mergeCell ref="A1:A2"/>
    <mergeCell ref="B1:B2"/>
    <mergeCell ref="C1:C2"/>
    <mergeCell ref="D1:D2"/>
    <mergeCell ref="E1:E2"/>
    <mergeCell ref="AH1:AI1"/>
    <mergeCell ref="AK1:AL1"/>
    <mergeCell ref="M1:S1"/>
    <mergeCell ref="T1:Y1"/>
    <mergeCell ref="Z1:AC1"/>
    <mergeCell ref="AD1:AD2"/>
    <mergeCell ref="AE1:AE2"/>
    <mergeCell ref="AF1:AG1"/>
  </mergeCells>
  <phoneticPr fontId="4" type="noConversion"/>
  <pageMargins left="0.7" right="0.7" top="0.75" bottom="0.75" header="0.3" footer="0.3"/>
  <pageSetup paperSize="9" scale="2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사용내역</vt:lpstr>
      <vt:lpstr>Sheet1</vt:lpstr>
      <vt:lpstr>data카피</vt:lpstr>
      <vt:lpstr>사용내역!Print_Area</vt:lpstr>
    </vt:vector>
  </TitlesOfParts>
  <Company>Samsung Electronics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USER</cp:lastModifiedBy>
  <cp:lastPrinted>2020-01-07T01:31:11Z</cp:lastPrinted>
  <dcterms:created xsi:type="dcterms:W3CDTF">2010-08-02T05:46:42Z</dcterms:created>
  <dcterms:modified xsi:type="dcterms:W3CDTF">2025-07-29T04:50:21Z</dcterms:modified>
</cp:coreProperties>
</file>