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서무일반(김은경)\11. 정보화 관련 업무\07. 홈페이지 - 업무추진비 공개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B10" i="1" s="1"/>
  <c r="G10" i="1"/>
  <c r="A10" i="1" s="1"/>
</calcChain>
</file>

<file path=xl/sharedStrings.xml><?xml version="1.0" encoding="utf-8"?>
<sst xmlns="http://schemas.openxmlformats.org/spreadsheetml/2006/main" count="37" uniqueCount="31">
  <si>
    <t>(단위 : 건/천원)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</si>
  <si>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</si>
  <si>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</si>
  <si>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</si>
  <si>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</si>
  <si>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타</t>
    <phoneticPr fontId="4" type="noConversion"/>
  </si>
  <si>
    <t>건</t>
    <phoneticPr fontId="4" type="noConversion"/>
  </si>
  <si>
    <t>금 액</t>
    <phoneticPr fontId="4" type="noConversion"/>
  </si>
  <si>
    <t>건</t>
    <phoneticPr fontId="4" type="noConversion"/>
  </si>
  <si>
    <t>금 액</t>
    <phoneticPr fontId="4" type="noConversion"/>
  </si>
  <si>
    <t>건</t>
    <phoneticPr fontId="4" type="noConversion"/>
  </si>
  <si>
    <t>금 액</t>
    <phoneticPr fontId="4" type="noConversion"/>
  </si>
  <si>
    <t>□ 세부집행내역</t>
  </si>
  <si>
    <t>(단위 : 천원)</t>
    <phoneticPr fontId="4" type="noConversion"/>
  </si>
  <si>
    <t>집  행  일</t>
    <phoneticPr fontId="4" type="noConversion"/>
  </si>
  <si>
    <t>집행유형(내역)</t>
    <phoneticPr fontId="4" type="noConversion"/>
  </si>
  <si>
    <t>집행구분</t>
    <phoneticPr fontId="4" type="noConversion"/>
  </si>
  <si>
    <t>집행대상</t>
    <phoneticPr fontId="4" type="noConversion"/>
  </si>
  <si>
    <t>집행액</t>
    <phoneticPr fontId="4" type="noConversion"/>
  </si>
  <si>
    <t>비고</t>
    <phoneticPr fontId="4" type="noConversion"/>
  </si>
  <si>
    <t>직원격려 급식 제공</t>
  </si>
  <si>
    <t>부서업무비</t>
    <phoneticPr fontId="9" type="noConversion"/>
  </si>
  <si>
    <t>소속 상근직원</t>
  </si>
  <si>
    <t xml:space="preserve">2025년 8월중 업무추진비 집행내역(연화장)         </t>
    <phoneticPr fontId="4" type="noConversion"/>
  </si>
  <si>
    <r>
      <t xml:space="preserve">                 </t>
    </r>
    <r>
      <rPr>
        <b/>
        <sz val="12"/>
        <color rgb="FF000000"/>
        <rFont val="맑은 고딕"/>
        <family val="3"/>
        <charset val="129"/>
      </rPr>
      <t>더 깨끗하고 투명한 행정으로 "청렴 도시 수원"을 만들어 가고자
         2025년 8월중 연화장에서 사용한 업무추진비 집행내역을 공개합니다.</t>
    </r>
    <phoneticPr fontId="9" type="noConversion"/>
  </si>
  <si>
    <t>직원격려 급식 제공</t>
    <phoneticPr fontId="3" type="noConversion"/>
  </si>
  <si>
    <t>부서업무비</t>
    <phoneticPr fontId="3" type="noConversion"/>
  </si>
  <si>
    <t>부서업무비</t>
    <phoneticPr fontId="3" type="noConversion"/>
  </si>
  <si>
    <t>소속 상근직원</t>
    <phoneticPr fontId="3" type="noConversion"/>
  </si>
  <si>
    <t>세부금액(50,200)</t>
    <phoneticPr fontId="3" type="noConversion"/>
  </si>
  <si>
    <t xml:space="preserve">□ 8월중 집행내역 총괄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</si>
</sst>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돋"/>
      <family val="3"/>
      <charset val="129"/>
    </font>
    <font>
      <sz val="12"/>
      <color theme="1"/>
      <name val="돋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shrinkToFit="1"/>
    </xf>
    <xf numFmtId="0" fontId="7" fillId="2" borderId="3" xfId="0" applyFont="1" applyFill="1" applyBorder="1" applyAlignment="1">
      <alignment horizontal="left" vertical="center" shrinkToFit="1"/>
    </xf>
    <xf numFmtId="0" fontId="10" fillId="0" borderId="0" xfId="0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14" fillId="3" borderId="4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41" fontId="16" fillId="0" borderId="4" xfId="1" applyFont="1" applyBorder="1" applyAlignment="1">
      <alignment horizontal="center" vertical="center" shrinkToFit="1"/>
    </xf>
    <xf numFmtId="41" fontId="16" fillId="0" borderId="4" xfId="1" applyNumberFormat="1" applyFont="1" applyBorder="1" applyAlignment="1">
      <alignment horizontal="center" vertical="center" shrinkToFit="1"/>
    </xf>
    <xf numFmtId="41" fontId="16" fillId="0" borderId="7" xfId="1" applyNumberFormat="1" applyFont="1" applyBorder="1" applyAlignment="1">
      <alignment horizontal="center" vertical="center" shrinkToFit="1"/>
    </xf>
    <xf numFmtId="41" fontId="16" fillId="0" borderId="8" xfId="1" applyFont="1" applyBorder="1" applyAlignment="1">
      <alignment vertical="center" shrinkToFit="1"/>
    </xf>
    <xf numFmtId="41" fontId="16" fillId="0" borderId="9" xfId="1" applyFont="1" applyBorder="1" applyAlignment="1">
      <alignment horizontal="center" vertical="center" shrinkToFit="1"/>
    </xf>
    <xf numFmtId="41" fontId="16" fillId="0" borderId="8" xfId="1" applyFont="1" applyBorder="1" applyAlignment="1">
      <alignment horizontal="center" vertical="center" shrinkToFit="1"/>
    </xf>
    <xf numFmtId="41" fontId="16" fillId="0" borderId="8" xfId="1" applyNumberFormat="1" applyFont="1" applyBorder="1" applyAlignment="1">
      <alignment horizontal="center" vertical="center" shrinkToFit="1"/>
    </xf>
    <xf numFmtId="41" fontId="16" fillId="0" borderId="4" xfId="1" applyFont="1" applyBorder="1" applyAlignment="1">
      <alignment horizontal="center" vertical="center" shrinkToFit="1"/>
    </xf>
    <xf numFmtId="41" fontId="16" fillId="0" borderId="8" xfId="1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right" vertical="center" wrapTex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3" borderId="13" xfId="0" applyFill="1" applyBorder="1" applyAlignment="1">
      <alignment horizontal="center" vertical="center" shrinkToFit="1"/>
    </xf>
    <xf numFmtId="0" fontId="0" fillId="3" borderId="14" xfId="0" applyFill="1" applyBorder="1" applyAlignment="1">
      <alignment horizontal="center" vertical="center" shrinkToFit="1"/>
    </xf>
    <xf numFmtId="0" fontId="0" fillId="3" borderId="12" xfId="0" applyFont="1" applyFill="1" applyBorder="1" applyAlignment="1">
      <alignment horizontal="center" vertical="center" shrinkToFit="1"/>
    </xf>
    <xf numFmtId="14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right" vertical="center"/>
    </xf>
    <xf numFmtId="0" fontId="0" fillId="0" borderId="18" xfId="0" applyBorder="1">
      <alignment vertical="center"/>
    </xf>
    <xf numFmtId="0" fontId="20" fillId="0" borderId="18" xfId="0" applyFont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center" vertical="center"/>
    </xf>
    <xf numFmtId="14" fontId="21" fillId="0" borderId="16" xfId="0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 shrinkToFit="1"/>
    </xf>
    <xf numFmtId="0" fontId="21" fillId="0" borderId="17" xfId="0" applyFont="1" applyBorder="1" applyAlignment="1">
      <alignment horizontal="center" vertical="center" wrapText="1" shrinkToFit="1"/>
    </xf>
    <xf numFmtId="0" fontId="21" fillId="0" borderId="16" xfId="0" applyFont="1" applyBorder="1" applyAlignment="1">
      <alignment horizontal="center" vertical="center" wrapText="1" shrinkToFit="1"/>
    </xf>
    <xf numFmtId="0" fontId="21" fillId="0" borderId="15" xfId="0" applyFont="1" applyFill="1" applyBorder="1" applyAlignment="1">
      <alignment horizontal="center" vertical="center" shrinkToFit="1"/>
    </xf>
    <xf numFmtId="0" fontId="21" fillId="0" borderId="16" xfId="0" applyFont="1" applyFill="1" applyBorder="1" applyAlignment="1">
      <alignment horizontal="center" vertical="center" shrinkToFit="1"/>
    </xf>
    <xf numFmtId="41" fontId="21" fillId="0" borderId="15" xfId="0" applyNumberFormat="1" applyFont="1" applyFill="1" applyBorder="1" applyAlignment="1">
      <alignment horizontal="center" vertical="center" shrinkToFit="1"/>
    </xf>
    <xf numFmtId="41" fontId="21" fillId="0" borderId="17" xfId="0" applyNumberFormat="1" applyFont="1" applyFill="1" applyBorder="1" applyAlignment="1">
      <alignment horizontal="center" vertical="center" shrinkToFit="1"/>
    </xf>
    <xf numFmtId="41" fontId="21" fillId="0" borderId="16" xfId="0" applyNumberFormat="1" applyFont="1" applyFill="1" applyBorder="1" applyAlignment="1">
      <alignment horizontal="center" vertical="center" shrinkToFit="1"/>
    </xf>
    <xf numFmtId="0" fontId="22" fillId="0" borderId="18" xfId="0" applyFont="1" applyFill="1" applyBorder="1" applyAlignment="1">
      <alignment horizontal="center" vertical="center" shrinkToFit="1"/>
    </xf>
    <xf numFmtId="0" fontId="19" fillId="0" borderId="18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I18" sqref="I18"/>
    </sheetView>
  </sheetViews>
  <sheetFormatPr defaultRowHeight="16.5"/>
  <cols>
    <col min="1" max="1" width="11.125" bestFit="1" customWidth="1"/>
    <col min="2" max="2" width="5" customWidth="1"/>
    <col min="3" max="3" width="9" customWidth="1"/>
    <col min="4" max="4" width="0.25" customWidth="1"/>
    <col min="11" max="11" width="5.625" customWidth="1"/>
    <col min="12" max="13" width="5.25" customWidth="1"/>
  </cols>
  <sheetData>
    <row r="1" spans="1:14" ht="33.75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9.75" customHeight="1">
      <c r="A2" s="3"/>
      <c r="B2" s="3"/>
      <c r="C2" s="4"/>
      <c r="D2" s="4"/>
      <c r="E2" s="3"/>
      <c r="F2" s="4"/>
      <c r="G2" s="3"/>
      <c r="H2" s="4"/>
      <c r="I2" s="4"/>
      <c r="J2" s="4"/>
      <c r="K2" s="4"/>
      <c r="L2" s="4"/>
      <c r="M2" s="4"/>
      <c r="N2" s="4"/>
    </row>
    <row r="3" spans="1:14" ht="49.5" customHeight="1">
      <c r="A3" s="5" t="s">
        <v>24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s="9"/>
      <c r="B5" s="9"/>
      <c r="C5" s="9"/>
      <c r="D5" s="9"/>
      <c r="E5" s="9"/>
      <c r="F5" s="9"/>
      <c r="G5" s="9"/>
      <c r="H5" s="9"/>
    </row>
    <row r="6" spans="1:14" ht="39" customHeight="1">
      <c r="A6" s="10" t="s">
        <v>30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13.5" customHeight="1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20.25" customHeight="1">
      <c r="A8" s="13" t="s">
        <v>1</v>
      </c>
      <c r="B8" s="14"/>
      <c r="C8" s="14"/>
      <c r="D8" s="15"/>
      <c r="E8" s="13" t="s">
        <v>2</v>
      </c>
      <c r="F8" s="16"/>
      <c r="G8" s="13" t="s">
        <v>3</v>
      </c>
      <c r="H8" s="16"/>
      <c r="I8" s="17" t="s">
        <v>4</v>
      </c>
      <c r="J8" s="18"/>
      <c r="K8" s="17" t="s">
        <v>5</v>
      </c>
      <c r="L8" s="19"/>
      <c r="M8" s="19"/>
      <c r="N8" s="18"/>
    </row>
    <row r="9" spans="1:14" ht="20.25" customHeight="1">
      <c r="A9" s="20" t="s">
        <v>6</v>
      </c>
      <c r="B9" s="21" t="s">
        <v>7</v>
      </c>
      <c r="C9" s="22"/>
      <c r="D9" s="23"/>
      <c r="E9" s="24" t="s">
        <v>8</v>
      </c>
      <c r="F9" s="20" t="s">
        <v>9</v>
      </c>
      <c r="G9" s="24" t="s">
        <v>10</v>
      </c>
      <c r="H9" s="20" t="s">
        <v>9</v>
      </c>
      <c r="I9" s="25" t="s">
        <v>8</v>
      </c>
      <c r="J9" s="25" t="s">
        <v>11</v>
      </c>
      <c r="K9" s="26" t="s">
        <v>8</v>
      </c>
      <c r="L9" s="27"/>
      <c r="M9" s="26" t="s">
        <v>9</v>
      </c>
      <c r="N9" s="27"/>
    </row>
    <row r="10" spans="1:14" ht="37.5" customHeight="1">
      <c r="A10" s="28">
        <f>E10+G10+I10+K10</f>
        <v>3</v>
      </c>
      <c r="B10" s="29">
        <f>SUM(F10,H10,J10,M10)</f>
        <v>650</v>
      </c>
      <c r="C10" s="30"/>
      <c r="D10" s="31"/>
      <c r="E10" s="32">
        <v>0</v>
      </c>
      <c r="F10" s="33">
        <v>0</v>
      </c>
      <c r="G10" s="32">
        <f>COUNTA(K15:M22)</f>
        <v>3</v>
      </c>
      <c r="H10" s="34">
        <f>SUM(K15:M22)</f>
        <v>650</v>
      </c>
      <c r="I10" s="32">
        <v>0</v>
      </c>
      <c r="J10" s="32">
        <v>0</v>
      </c>
      <c r="K10" s="35">
        <v>0</v>
      </c>
      <c r="L10" s="36"/>
      <c r="M10" s="35">
        <v>0</v>
      </c>
      <c r="N10" s="36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6" customHeight="1">
      <c r="A12" s="11" t="s">
        <v>12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37"/>
      <c r="B13" s="37"/>
      <c r="C13" s="38"/>
      <c r="D13" s="38"/>
      <c r="E13" s="37"/>
      <c r="F13" s="38"/>
      <c r="G13" s="37"/>
      <c r="H13" s="38"/>
      <c r="I13" s="38"/>
      <c r="J13" s="38"/>
      <c r="K13" s="39" t="s">
        <v>13</v>
      </c>
      <c r="L13" s="39"/>
      <c r="M13" s="39"/>
      <c r="N13" s="39"/>
    </row>
    <row r="14" spans="1:14" ht="30.75" customHeight="1">
      <c r="A14" s="40" t="s">
        <v>14</v>
      </c>
      <c r="B14" s="41"/>
      <c r="C14" s="40" t="s">
        <v>15</v>
      </c>
      <c r="D14" s="42"/>
      <c r="E14" s="42"/>
      <c r="F14" s="42"/>
      <c r="G14" s="41"/>
      <c r="H14" s="43" t="s">
        <v>16</v>
      </c>
      <c r="I14" s="40" t="s">
        <v>17</v>
      </c>
      <c r="J14" s="44"/>
      <c r="K14" s="40" t="s">
        <v>18</v>
      </c>
      <c r="L14" s="42"/>
      <c r="M14" s="41"/>
      <c r="N14" s="43" t="s">
        <v>19</v>
      </c>
    </row>
    <row r="15" spans="1:14" ht="30" customHeight="1">
      <c r="A15" s="50">
        <v>45876</v>
      </c>
      <c r="B15" s="51"/>
      <c r="C15" s="52" t="s">
        <v>20</v>
      </c>
      <c r="D15" s="53"/>
      <c r="E15" s="53"/>
      <c r="F15" s="53"/>
      <c r="G15" s="54"/>
      <c r="H15" s="61" t="s">
        <v>21</v>
      </c>
      <c r="I15" s="55" t="s">
        <v>22</v>
      </c>
      <c r="J15" s="56"/>
      <c r="K15" s="57">
        <v>50</v>
      </c>
      <c r="L15" s="58"/>
      <c r="M15" s="59"/>
      <c r="N15" s="60" t="s">
        <v>29</v>
      </c>
    </row>
    <row r="16" spans="1:14" ht="28.5" customHeight="1">
      <c r="A16" s="45">
        <v>45897</v>
      </c>
      <c r="B16" s="45"/>
      <c r="C16" s="46" t="s">
        <v>25</v>
      </c>
      <c r="D16" s="46"/>
      <c r="E16" s="46"/>
      <c r="F16" s="46"/>
      <c r="G16" s="46"/>
      <c r="H16" s="49" t="s">
        <v>26</v>
      </c>
      <c r="I16" s="46" t="s">
        <v>28</v>
      </c>
      <c r="J16" s="46"/>
      <c r="K16" s="47">
        <v>330</v>
      </c>
      <c r="L16" s="47"/>
      <c r="M16" s="47"/>
      <c r="N16" s="48"/>
    </row>
    <row r="17" spans="1:14" ht="29.25" customHeight="1">
      <c r="A17" s="45">
        <v>45898</v>
      </c>
      <c r="B17" s="45"/>
      <c r="C17" s="46" t="s">
        <v>25</v>
      </c>
      <c r="D17" s="46"/>
      <c r="E17" s="46"/>
      <c r="F17" s="46"/>
      <c r="G17" s="46"/>
      <c r="H17" s="49" t="s">
        <v>27</v>
      </c>
      <c r="I17" s="46" t="s">
        <v>28</v>
      </c>
      <c r="J17" s="46"/>
      <c r="K17" s="47">
        <v>270</v>
      </c>
      <c r="L17" s="47"/>
      <c r="M17" s="47"/>
      <c r="N17" s="48"/>
    </row>
  </sheetData>
  <mergeCells count="33">
    <mergeCell ref="C17:G17"/>
    <mergeCell ref="K16:M16"/>
    <mergeCell ref="A15:B15"/>
    <mergeCell ref="C15:G15"/>
    <mergeCell ref="I15:J15"/>
    <mergeCell ref="K15:M15"/>
    <mergeCell ref="A16:B16"/>
    <mergeCell ref="A17:B17"/>
    <mergeCell ref="C16:G16"/>
    <mergeCell ref="I16:J16"/>
    <mergeCell ref="I17:J17"/>
    <mergeCell ref="K17:M17"/>
    <mergeCell ref="A12:N12"/>
    <mergeCell ref="K13:N13"/>
    <mergeCell ref="A14:B14"/>
    <mergeCell ref="C14:G14"/>
    <mergeCell ref="I14:J14"/>
    <mergeCell ref="K14:M14"/>
    <mergeCell ref="B9:C9"/>
    <mergeCell ref="K9:L9"/>
    <mergeCell ref="M9:N9"/>
    <mergeCell ref="B10:C10"/>
    <mergeCell ref="K10:L10"/>
    <mergeCell ref="M10:N10"/>
    <mergeCell ref="A1:N1"/>
    <mergeCell ref="A3:N3"/>
    <mergeCell ref="A6:N6"/>
    <mergeCell ref="A7:N7"/>
    <mergeCell ref="A8:C8"/>
    <mergeCell ref="E8:F8"/>
    <mergeCell ref="G8:H8"/>
    <mergeCell ref="I8:J8"/>
    <mergeCell ref="K8:N8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2025-08-31T22:28:59Z</dcterms:created>
  <dcterms:modified xsi:type="dcterms:W3CDTF">2025-08-31T22:55:08Z</dcterms:modified>
</cp:coreProperties>
</file>