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55308A-DEE7-4652-8614-FFC8A846E6C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사용내역!$A$15:$R$18</definedName>
    <definedName name="_xlnm.Print_Area" localSheetId="0">사용내역!$A$1:$H$16</definedName>
  </definedNames>
  <calcPr calcId="191029"/>
</workbook>
</file>

<file path=xl/calcChain.xml><?xml version="1.0" encoding="utf-8"?>
<calcChain xmlns="http://schemas.openxmlformats.org/spreadsheetml/2006/main">
  <c r="I11" i="7" l="1"/>
  <c r="J11" i="7" s="1"/>
</calcChain>
</file>

<file path=xl/sharedStrings.xml><?xml version="1.0" encoding="utf-8"?>
<sst xmlns="http://schemas.openxmlformats.org/spreadsheetml/2006/main" count="157" uniqueCount="90">
  <si>
    <t>(단위:원)</t>
    <phoneticPr fontId="1" type="noConversion"/>
  </si>
  <si>
    <t>집행구분</t>
    <phoneticPr fontId="1" type="noConversion"/>
  </si>
  <si>
    <t>집행대상</t>
    <phoneticPr fontId="1" type="noConversion"/>
  </si>
  <si>
    <t>집행액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</si>
  <si>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</si>
  <si>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</si>
  <si>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</si>
  <si>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</si>
  <si>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</si>
  <si>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</si>
  <si>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</si>
  <si>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</si>
  <si>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</si>
  <si>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</si>
  <si>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</si>
  <si>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</si>
  <si>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</si>
  <si>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</si>
  <si>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</si>
  <si>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</si>
  <si>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</si>
  <si>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</si>
  <si>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</si>
  <si>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</si>
  <si>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</si>
  <si>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</si>
  <si>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</si>
  <si>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</si>
  <si>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</si>
  <si>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</si>
  <si>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</si>
  <si>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</si>
  <si>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</si>
  <si>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</si>
  <si>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</si>
  <si>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</si>
  <si>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</si>
  <si>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</si>
  <si>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</si>
  <si>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</si>
  <si>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</si>
  <si>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</si>
  <si>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</si>
  <si>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</si>
  <si>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</si>
  <si>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</si>
  <si>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</si>
  <si>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</si>
  <si>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"청렴 도시 수원"</t>
    <phoneticPr fontId="2" type="noConversion"/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</si>
  <si>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</si>
  <si>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</si>
  <si>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</si>
  <si>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</si>
  <si>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</si>
  <si>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</si>
  <si>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</si>
  <si>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사용방법</t>
    <phoneticPr fontId="2" type="noConversion"/>
  </si>
  <si>
    <t>직원격려 급식제공 건의</t>
  </si>
  <si>
    <t>짬뽕지존</t>
  </si>
  <si>
    <t>00000235</t>
  </si>
  <si>
    <t>00000240</t>
  </si>
  <si>
    <t>백세삼계탕</t>
  </si>
  <si>
    <t>00000255</t>
  </si>
  <si>
    <t>00000254</t>
  </si>
  <si>
    <t>올리앤 호매실점</t>
  </si>
  <si>
    <t>00000284</t>
  </si>
  <si>
    <t>00000286</t>
  </si>
  <si>
    <t>집 행 일</t>
    <phoneticPr fontId="1" type="noConversion"/>
  </si>
  <si>
    <t>구분</t>
    <phoneticPr fontId="2" type="noConversion"/>
  </si>
  <si>
    <t>합계</t>
    <phoneticPr fontId="2" type="noConversion"/>
  </si>
  <si>
    <t>대상(명)</t>
    <phoneticPr fontId="1" type="noConversion"/>
  </si>
  <si>
    <t>직원격려 등</t>
    <phoneticPr fontId="2" type="noConversion"/>
  </si>
  <si>
    <t>회의/간담회비 등</t>
    <phoneticPr fontId="2" type="noConversion"/>
  </si>
  <si>
    <t>오.만찬</t>
    <phoneticPr fontId="2" type="noConversion"/>
  </si>
  <si>
    <t>기념품</t>
    <phoneticPr fontId="1" type="noConversion"/>
  </si>
  <si>
    <t>위문금품</t>
    <phoneticPr fontId="2" type="noConversion"/>
  </si>
  <si>
    <t>기타</t>
    <phoneticPr fontId="2" type="noConversion"/>
  </si>
  <si>
    <t>(단위:건/천원)</t>
    <phoneticPr fontId="2" type="noConversion"/>
  </si>
  <si>
    <t>-</t>
    <phoneticPr fontId="2" type="noConversion"/>
  </si>
  <si>
    <t>□ 세부집행내역</t>
    <phoneticPr fontId="2" type="noConversion"/>
  </si>
  <si>
    <t>2025. 8월 업무추진비 공개 (권선구 서둔동장)</t>
    <phoneticPr fontId="2" type="noConversion"/>
  </si>
  <si>
    <t>□ 8월 집행내역 총괄</t>
    <phoneticPr fontId="2" type="noConversion"/>
  </si>
  <si>
    <t>8월</t>
    <phoneticPr fontId="2" type="noConversion"/>
  </si>
  <si>
    <t>0/0</t>
  </si>
  <si>
    <t>0/0</t>
    <phoneticPr fontId="2" type="noConversion"/>
  </si>
  <si>
    <t>해</t>
    <phoneticPr fontId="2" type="noConversion"/>
  </si>
  <si>
    <t>당</t>
    <phoneticPr fontId="2" type="noConversion"/>
  </si>
  <si>
    <t>없</t>
    <phoneticPr fontId="2" type="noConversion"/>
  </si>
  <si>
    <t>음</t>
    <phoneticPr fontId="2" type="noConversion"/>
  </si>
  <si>
    <t xml:space="preserve">   본 공개 내역은 더 깨끗하고 투명한 행정으로 "청렴 도시 수원"을 만들어 가고자  2025. 8월중 권선구 서둔동장이 사용한 
   업무추진비 집행내역을 구 홈페이지에 공개하고자 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</si>
</sst>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_-;\-* #,##0.0_-;_-* &quot;-&quot;_-;_-@_-"/>
    <numFmt numFmtId="177" formatCode="yyyy\.mm\.dd"/>
    <numFmt numFmtId="178" formatCode="0;[Red]0"/>
    <numFmt numFmtId="179" formatCode="0_);[Red]\(0\)"/>
  </numFmts>
  <fonts count="23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8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2" borderId="1" xfId="0" applyFont="1" applyFill="1" applyBorder="1" applyAlignment="1">
      <alignment horizontal="center" vertical="center" shrinkToFit="1"/>
    </xf>
    <xf numFmtId="0" fontId="13" fillId="4" borderId="10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right" vertical="center"/>
    </xf>
    <xf numFmtId="0" fontId="15" fillId="0" borderId="10" xfId="0" applyFont="1" applyFill="1" applyBorder="1" applyAlignment="1">
      <alignment horizontal="center" vertical="center"/>
    </xf>
    <xf numFmtId="3" fontId="15" fillId="0" borderId="10" xfId="0" applyNumberFormat="1" applyFont="1" applyFill="1" applyBorder="1" applyAlignment="1">
      <alignment horizontal="right" vertical="center"/>
    </xf>
    <xf numFmtId="14" fontId="15" fillId="0" borderId="10" xfId="0" applyNumberFormat="1" applyFont="1" applyFill="1" applyBorder="1" applyAlignment="1">
      <alignment horizontal="center" vertical="center"/>
    </xf>
    <xf numFmtId="0" fontId="15" fillId="0" borderId="10" xfId="0" quotePrefix="1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Font="1" applyAlignment="1">
      <alignment vertical="center"/>
    </xf>
    <xf numFmtId="177" fontId="0" fillId="0" borderId="0" xfId="0" applyNumberFormat="1" applyFont="1" applyAlignment="1">
      <alignment vertical="center" shrinkToFit="1"/>
    </xf>
    <xf numFmtId="177" fontId="17" fillId="0" borderId="0" xfId="0" applyNumberFormat="1" applyFont="1" applyAlignment="1">
      <alignment vertical="center" shrinkToFit="1"/>
    </xf>
    <xf numFmtId="177" fontId="16" fillId="0" borderId="0" xfId="0" applyNumberFormat="1" applyFont="1" applyAlignment="1">
      <alignment vertical="center" shrinkToFit="1"/>
    </xf>
    <xf numFmtId="177" fontId="17" fillId="0" borderId="0" xfId="0" applyNumberFormat="1" applyFont="1" applyBorder="1" applyAlignment="1">
      <alignment vertical="center" shrinkToFit="1"/>
    </xf>
    <xf numFmtId="177" fontId="12" fillId="0" borderId="0" xfId="0" applyNumberFormat="1" applyFont="1" applyBorder="1" applyAlignment="1">
      <alignment vertical="center" shrinkToFit="1"/>
    </xf>
    <xf numFmtId="0" fontId="11" fillId="0" borderId="0" xfId="0" applyFont="1" applyBorder="1" applyAlignment="1">
      <alignment vertical="center"/>
    </xf>
    <xf numFmtId="178" fontId="8" fillId="0" borderId="13" xfId="0" applyNumberFormat="1" applyFont="1" applyBorder="1" applyAlignment="1">
      <alignment horizontal="center" vertical="center" shrinkToFit="1"/>
    </xf>
    <xf numFmtId="3" fontId="3" fillId="0" borderId="14" xfId="0" quotePrefix="1" applyNumberFormat="1" applyFont="1" applyBorder="1" applyAlignment="1">
      <alignment horizontal="center" vertical="center"/>
    </xf>
    <xf numFmtId="3" fontId="8" fillId="0" borderId="14" xfId="0" quotePrefix="1" applyNumberFormat="1" applyFont="1" applyBorder="1" applyAlignment="1">
      <alignment horizontal="center" vertical="center" shrinkToFit="1"/>
    </xf>
    <xf numFmtId="177" fontId="0" fillId="2" borderId="15" xfId="0" applyNumberFormat="1" applyFont="1" applyFill="1" applyBorder="1" applyAlignment="1">
      <alignment horizontal="center" vertical="center" shrinkToFit="1"/>
    </xf>
    <xf numFmtId="0" fontId="0" fillId="2" borderId="17" xfId="0" applyFont="1" applyFill="1" applyBorder="1" applyAlignment="1">
      <alignment horizontal="center" vertical="center" shrinkToFit="1"/>
    </xf>
    <xf numFmtId="0" fontId="0" fillId="2" borderId="16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shrinkToFit="1"/>
    </xf>
    <xf numFmtId="41" fontId="19" fillId="6" borderId="1" xfId="1" applyFont="1" applyFill="1" applyBorder="1" applyAlignment="1">
      <alignment horizontal="center" vertical="center" shrinkToFit="1"/>
    </xf>
    <xf numFmtId="0" fontId="19" fillId="6" borderId="19" xfId="0" applyFont="1" applyFill="1" applyBorder="1" applyAlignment="1">
      <alignment horizontal="center" vertical="center" shrinkToFit="1"/>
    </xf>
    <xf numFmtId="0" fontId="19" fillId="6" borderId="1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179" fontId="19" fillId="6" borderId="18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/>
    </xf>
    <xf numFmtId="0" fontId="19" fillId="6" borderId="20" xfId="0" applyFont="1" applyFill="1" applyBorder="1" applyAlignment="1">
      <alignment horizontal="center" vertical="center" shrinkToFit="1"/>
    </xf>
    <xf numFmtId="0" fontId="19" fillId="6" borderId="21" xfId="0" applyFont="1" applyFill="1" applyBorder="1" applyAlignment="1">
      <alignment horizontal="center" vertical="center" shrinkToFit="1"/>
    </xf>
    <xf numFmtId="0" fontId="19" fillId="6" borderId="2" xfId="0" applyFont="1" applyFill="1" applyBorder="1" applyAlignment="1">
      <alignment horizontal="center" vertical="center" shrinkToFit="1"/>
    </xf>
    <xf numFmtId="0" fontId="19" fillId="6" borderId="4" xfId="0" applyFont="1" applyFill="1" applyBorder="1" applyAlignment="1">
      <alignment horizontal="center" vertical="center" shrinkToFi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8" fillId="0" borderId="22" xfId="0" quotePrefix="1" applyNumberFormat="1" applyFont="1" applyBorder="1" applyAlignment="1">
      <alignment horizontal="center" vertical="center" shrinkToFit="1"/>
    </xf>
    <xf numFmtId="0" fontId="8" fillId="0" borderId="23" xfId="0" quotePrefix="1" applyNumberFormat="1" applyFont="1" applyBorder="1" applyAlignment="1">
      <alignment horizontal="center" vertical="center" shrinkToFit="1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177" fontId="12" fillId="2" borderId="15" xfId="0" applyNumberFormat="1" applyFont="1" applyFill="1" applyBorder="1" applyAlignment="1">
      <alignment horizontal="center" vertical="center" shrinkToFit="1"/>
    </xf>
    <xf numFmtId="177" fontId="12" fillId="2" borderId="13" xfId="0" applyNumberFormat="1" applyFont="1" applyFill="1" applyBorder="1" applyAlignment="1">
      <alignment horizontal="center" vertical="center" shrinkToFit="1"/>
    </xf>
    <xf numFmtId="0" fontId="9" fillId="3" borderId="0" xfId="0" applyFont="1" applyFill="1" applyAlignment="1">
      <alignment horizontal="left" vertical="center" wrapText="1" shrinkToFit="1"/>
    </xf>
    <xf numFmtId="0" fontId="10" fillId="0" borderId="0" xfId="0" applyFont="1" applyAlignment="1">
      <alignment horizontal="left" vertical="center"/>
    </xf>
    <xf numFmtId="0" fontId="0" fillId="2" borderId="22" xfId="0" applyFont="1" applyFill="1" applyBorder="1" applyAlignment="1">
      <alignment horizontal="center" vertical="center" shrinkToFit="1"/>
    </xf>
    <xf numFmtId="0" fontId="0" fillId="2" borderId="28" xfId="0" applyFont="1" applyFill="1" applyBorder="1" applyAlignment="1">
      <alignment horizontal="center" vertical="center" shrinkToFit="1"/>
    </xf>
    <xf numFmtId="0" fontId="11" fillId="0" borderId="11" xfId="0" applyFont="1" applyBorder="1" applyAlignment="1">
      <alignment horizontal="right" vertical="center"/>
    </xf>
    <xf numFmtId="0" fontId="12" fillId="0" borderId="11" xfId="0" applyFont="1" applyBorder="1" applyAlignment="1">
      <alignment horizontal="right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 shrinkToFit="1"/>
    </xf>
    <xf numFmtId="0" fontId="21" fillId="6" borderId="21" xfId="0" applyFont="1" applyFill="1" applyBorder="1" applyAlignment="1">
      <alignment horizontal="center" vertical="center" shrinkToFit="1"/>
    </xf>
    <xf numFmtId="0" fontId="21" fillId="6" borderId="1" xfId="0" applyFont="1" applyFill="1" applyBorder="1" applyAlignment="1">
      <alignment horizontal="center" vertical="center" shrinkToFit="1"/>
    </xf>
    <xf numFmtId="41" fontId="21" fillId="6" borderId="1" xfId="1" applyFont="1" applyFill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view="pageBreakPreview" zoomScaleNormal="100" zoomScaleSheetLayoutView="100" workbookViewId="0">
      <selection activeCell="A4" sqref="A4"/>
    </sheetView>
  </sheetViews>
  <sheetFormatPr defaultColWidth="10.625" defaultRowHeight="16.5"/>
  <cols>
    <col min="1" max="1" width="13.5" style="21" customWidth="1"/>
    <col min="2" max="2" width="15.875" style="1" customWidth="1"/>
    <col min="3" max="3" width="15.875" customWidth="1"/>
    <col min="4" max="4" width="17.125" customWidth="1"/>
    <col min="5" max="5" width="14.75" customWidth="1"/>
    <col min="6" max="6" width="20.625" bestFit="1" customWidth="1"/>
    <col min="7" max="7" width="11.5" customWidth="1"/>
    <col min="8" max="8" width="11.5" style="7" customWidth="1"/>
    <col min="9" max="17" width="10.625" hidden="1" customWidth="1"/>
  </cols>
  <sheetData>
    <row r="1" spans="1:18" ht="33.75" customHeight="1">
      <c r="A1" s="54" t="s">
        <v>80</v>
      </c>
      <c r="B1" s="54"/>
      <c r="C1" s="54"/>
      <c r="D1" s="54"/>
      <c r="E1" s="54"/>
      <c r="F1" s="54"/>
      <c r="G1" s="54"/>
      <c r="H1" s="54"/>
    </row>
    <row r="2" spans="1:18" ht="21.75" customHeight="1">
      <c r="A2" s="22"/>
      <c r="B2" s="8"/>
      <c r="C2" s="38"/>
      <c r="D2" s="38"/>
      <c r="E2" s="38"/>
      <c r="F2" s="38"/>
      <c r="G2" s="38"/>
      <c r="H2"/>
    </row>
    <row r="3" spans="1:18" ht="51.75" customHeight="1">
      <c r="A3" s="59" t="s">
        <v>89</v>
      </c>
      <c r="B3" s="59"/>
      <c r="C3" s="59"/>
      <c r="D3" s="59"/>
      <c r="E3" s="59"/>
      <c r="F3" s="59"/>
      <c r="G3" s="59"/>
      <c r="H3" s="59"/>
      <c r="J3" t="s">
        <v>48</v>
      </c>
    </row>
    <row r="4" spans="1:18" ht="4.5" customHeight="1">
      <c r="A4" s="23"/>
      <c r="B4" s="4"/>
      <c r="C4" s="4"/>
      <c r="D4" s="4"/>
      <c r="E4" s="4"/>
      <c r="F4" s="4"/>
      <c r="G4" s="4"/>
      <c r="H4" s="6"/>
    </row>
    <row r="5" spans="1:18" ht="23.25" customHeight="1">
      <c r="A5" s="24"/>
      <c r="B5" s="5"/>
      <c r="C5" s="5"/>
      <c r="D5" s="5"/>
      <c r="E5" s="5"/>
      <c r="F5" s="5"/>
      <c r="G5" s="5"/>
      <c r="H5" s="5"/>
    </row>
    <row r="6" spans="1:18" ht="5.25" customHeight="1">
      <c r="A6" s="24"/>
      <c r="B6" s="5"/>
      <c r="C6" s="5"/>
      <c r="D6" s="5"/>
      <c r="H6" s="5"/>
    </row>
    <row r="7" spans="1:18" ht="23.1" customHeight="1">
      <c r="A7" s="60" t="s">
        <v>81</v>
      </c>
      <c r="B7" s="60"/>
      <c r="C7" s="60"/>
      <c r="D7" s="60"/>
      <c r="E7" s="60"/>
      <c r="F7" s="60"/>
      <c r="G7" s="60"/>
      <c r="H7" s="60"/>
    </row>
    <row r="8" spans="1:18" ht="21" customHeight="1" thickBot="1">
      <c r="B8" s="26"/>
      <c r="C8" s="26"/>
      <c r="D8" s="26"/>
      <c r="E8" s="26"/>
      <c r="F8" s="26"/>
      <c r="G8" s="63" t="s">
        <v>77</v>
      </c>
      <c r="H8" s="63"/>
    </row>
    <row r="9" spans="1:18" ht="21" customHeight="1">
      <c r="A9" s="57" t="s">
        <v>68</v>
      </c>
      <c r="B9" s="65" t="s">
        <v>69</v>
      </c>
      <c r="C9" s="65" t="s">
        <v>71</v>
      </c>
      <c r="D9" s="55" t="s">
        <v>72</v>
      </c>
      <c r="E9" s="56"/>
      <c r="F9" s="65" t="s">
        <v>75</v>
      </c>
      <c r="G9" s="45" t="s">
        <v>76</v>
      </c>
      <c r="H9" s="46"/>
    </row>
    <row r="10" spans="1:18" ht="24.75" customHeight="1" thickBot="1">
      <c r="A10" s="58"/>
      <c r="B10" s="66"/>
      <c r="C10" s="66"/>
      <c r="D10" s="33" t="s">
        <v>73</v>
      </c>
      <c r="E10" s="33" t="s">
        <v>74</v>
      </c>
      <c r="F10" s="66"/>
      <c r="G10" s="47"/>
      <c r="H10" s="48"/>
    </row>
    <row r="11" spans="1:18" s="10" customFormat="1" ht="32.25" customHeight="1" thickBot="1">
      <c r="A11" s="27" t="s">
        <v>82</v>
      </c>
      <c r="B11" s="28" t="s">
        <v>83</v>
      </c>
      <c r="C11" s="29" t="s">
        <v>84</v>
      </c>
      <c r="D11" s="29" t="s">
        <v>78</v>
      </c>
      <c r="E11" s="29" t="s">
        <v>78</v>
      </c>
      <c r="F11" s="29" t="s">
        <v>78</v>
      </c>
      <c r="G11" s="49" t="s">
        <v>84</v>
      </c>
      <c r="H11" s="50"/>
      <c r="I11" s="19">
        <f>ROUND(data카피!U3/1000,1)</f>
        <v>337.4</v>
      </c>
      <c r="J11" s="10" t="str">
        <f>IF(B11=I11,"이상없음","문제있음")</f>
        <v>문제있음</v>
      </c>
      <c r="K11"/>
    </row>
    <row r="12" spans="1:18">
      <c r="A12" s="20"/>
      <c r="B12" s="10"/>
      <c r="C12" s="5"/>
      <c r="D12" s="5"/>
      <c r="E12" s="5"/>
      <c r="F12" s="5"/>
      <c r="G12" s="5"/>
      <c r="H12" s="5"/>
    </row>
    <row r="13" spans="1:18" s="1" customFormat="1" ht="23.1" customHeight="1">
      <c r="A13" s="60" t="s">
        <v>79</v>
      </c>
      <c r="B13" s="60"/>
      <c r="C13" s="60"/>
      <c r="D13" s="60"/>
      <c r="E13" s="60"/>
      <c r="F13" s="60"/>
      <c r="G13" s="60"/>
      <c r="H13" s="60"/>
    </row>
    <row r="14" spans="1:18" s="1" customFormat="1" ht="25.5" customHeight="1" thickBot="1">
      <c r="A14" s="25"/>
      <c r="B14" s="9"/>
      <c r="C14" s="3"/>
      <c r="D14" s="3"/>
      <c r="E14" s="3"/>
      <c r="F14" s="3"/>
      <c r="G14" s="64" t="s">
        <v>0</v>
      </c>
      <c r="H14" s="64"/>
    </row>
    <row r="15" spans="1:18" s="2" customFormat="1" ht="27.75" customHeight="1" thickBot="1">
      <c r="A15" s="30" t="s">
        <v>67</v>
      </c>
      <c r="B15" s="61" t="s">
        <v>55</v>
      </c>
      <c r="C15" s="62"/>
      <c r="D15" s="32" t="s">
        <v>1</v>
      </c>
      <c r="E15" s="32" t="s">
        <v>3</v>
      </c>
      <c r="F15" s="32" t="s">
        <v>54</v>
      </c>
      <c r="G15" s="32" t="s">
        <v>70</v>
      </c>
      <c r="H15" s="31" t="s">
        <v>56</v>
      </c>
      <c r="M15" s="11" t="s">
        <v>1</v>
      </c>
      <c r="N15" s="51" t="s">
        <v>2</v>
      </c>
      <c r="O15" s="52"/>
      <c r="P15" s="53"/>
      <c r="Q15"/>
      <c r="R15"/>
    </row>
    <row r="16" spans="1:18" s="2" customFormat="1" ht="27.75" customHeight="1">
      <c r="A16" s="39"/>
      <c r="B16" s="72" t="s">
        <v>85</v>
      </c>
      <c r="C16" s="73"/>
      <c r="D16" s="74" t="s">
        <v>86</v>
      </c>
      <c r="E16" s="75" t="s">
        <v>87</v>
      </c>
      <c r="F16" s="76" t="s">
        <v>88</v>
      </c>
      <c r="G16" s="37"/>
      <c r="H16" s="36"/>
      <c r="M16" s="34"/>
      <c r="N16" s="34"/>
      <c r="O16" s="34"/>
      <c r="P16" s="34"/>
      <c r="Q16"/>
      <c r="R16"/>
    </row>
    <row r="17" spans="1:18" s="2" customFormat="1" ht="27.75" hidden="1" customHeight="1" thickBot="1">
      <c r="A17" s="39"/>
      <c r="B17" s="43"/>
      <c r="C17" s="44"/>
      <c r="D17" s="37"/>
      <c r="E17" s="35"/>
      <c r="F17" s="40"/>
      <c r="G17" s="37"/>
      <c r="H17" s="36"/>
      <c r="M17" s="34"/>
      <c r="N17" s="34"/>
      <c r="O17" s="34"/>
      <c r="P17" s="34"/>
      <c r="Q17"/>
      <c r="R17"/>
    </row>
    <row r="18" spans="1:18" s="2" customFormat="1" ht="27.75" hidden="1" customHeight="1">
      <c r="A18" s="39"/>
      <c r="B18" s="41"/>
      <c r="C18" s="42"/>
      <c r="D18" s="37"/>
      <c r="E18" s="35"/>
      <c r="F18" s="40"/>
      <c r="G18" s="37"/>
      <c r="H18" s="36"/>
      <c r="M18" s="34"/>
      <c r="N18" s="34"/>
      <c r="O18" s="34"/>
      <c r="P18" s="34"/>
      <c r="Q18"/>
      <c r="R18"/>
    </row>
  </sheetData>
  <autoFilter ref="A15:R18" xr:uid="{00000000-0009-0000-0000-000000000000}">
    <filterColumn colId="1" showButton="0"/>
    <filterColumn colId="13" showButton="0"/>
    <filterColumn colId="14" showButton="0"/>
  </autoFilter>
  <mergeCells count="18">
    <mergeCell ref="N15:P15"/>
    <mergeCell ref="A1:H1"/>
    <mergeCell ref="D9:E9"/>
    <mergeCell ref="A9:A10"/>
    <mergeCell ref="A3:H3"/>
    <mergeCell ref="A7:H7"/>
    <mergeCell ref="B15:C15"/>
    <mergeCell ref="G8:H8"/>
    <mergeCell ref="G14:H14"/>
    <mergeCell ref="B9:B10"/>
    <mergeCell ref="C9:C10"/>
    <mergeCell ref="A13:H13"/>
    <mergeCell ref="F9:F10"/>
    <mergeCell ref="B16:C16"/>
    <mergeCell ref="B17:C17"/>
    <mergeCell ref="B18:C18"/>
    <mergeCell ref="G9:H10"/>
    <mergeCell ref="G11:H11"/>
  </mergeCells>
  <phoneticPr fontId="2" type="noConversion"/>
  <conditionalFormatting sqref="J11">
    <cfRule type="containsText" dxfId="1" priority="1" operator="containsText" text="문제있음">
      <formula>NOT(ISERROR(SEARCH("문제있음",J11)))</formula>
    </cfRule>
    <cfRule type="containsText" dxfId="0" priority="2" operator="containsText" text="이상없음">
      <formula>NOT(ISERROR(SEARCH("이상없음",J11)))</formula>
    </cfRule>
  </conditionalFormatting>
  <pageMargins left="0.25" right="0.25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0"/>
  <sheetViews>
    <sheetView workbookViewId="0">
      <selection activeCell="E13" sqref="E13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70" t="s">
        <v>4</v>
      </c>
      <c r="B1" s="70" t="s">
        <v>5</v>
      </c>
      <c r="C1" s="70" t="s">
        <v>6</v>
      </c>
      <c r="D1" s="70" t="s">
        <v>7</v>
      </c>
      <c r="E1" s="70" t="s">
        <v>8</v>
      </c>
      <c r="F1" s="67" t="s">
        <v>9</v>
      </c>
      <c r="G1" s="68"/>
      <c r="H1" s="68"/>
      <c r="I1" s="68"/>
      <c r="J1" s="68"/>
      <c r="K1" s="68"/>
      <c r="L1" s="69"/>
      <c r="M1" s="67" t="s">
        <v>10</v>
      </c>
      <c r="N1" s="68"/>
      <c r="O1" s="68"/>
      <c r="P1" s="68"/>
      <c r="Q1" s="68"/>
      <c r="R1" s="68"/>
      <c r="S1" s="69"/>
      <c r="T1" s="67" t="s">
        <v>11</v>
      </c>
      <c r="U1" s="68"/>
      <c r="V1" s="68"/>
      <c r="W1" s="68"/>
      <c r="X1" s="68"/>
      <c r="Y1" s="69"/>
      <c r="Z1" s="67" t="s">
        <v>12</v>
      </c>
      <c r="AA1" s="68"/>
      <c r="AB1" s="68"/>
      <c r="AC1" s="69"/>
      <c r="AD1" s="70" t="s">
        <v>13</v>
      </c>
      <c r="AE1" s="70" t="s">
        <v>14</v>
      </c>
      <c r="AF1" s="67" t="s">
        <v>9</v>
      </c>
      <c r="AG1" s="69"/>
      <c r="AH1" s="67" t="s">
        <v>10</v>
      </c>
      <c r="AI1" s="69"/>
      <c r="AJ1" s="12" t="s">
        <v>11</v>
      </c>
      <c r="AK1" s="67" t="s">
        <v>12</v>
      </c>
      <c r="AL1" s="69"/>
    </row>
    <row r="2" spans="1:38">
      <c r="A2" s="71"/>
      <c r="B2" s="71"/>
      <c r="C2" s="71"/>
      <c r="D2" s="71"/>
      <c r="E2" s="71"/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 t="s">
        <v>21</v>
      </c>
      <c r="M2" s="12" t="s">
        <v>22</v>
      </c>
      <c r="N2" s="12" t="s">
        <v>23</v>
      </c>
      <c r="O2" s="12" t="s">
        <v>24</v>
      </c>
      <c r="P2" s="12" t="s">
        <v>25</v>
      </c>
      <c r="Q2" s="12" t="s">
        <v>26</v>
      </c>
      <c r="R2" s="12" t="s">
        <v>27</v>
      </c>
      <c r="S2" s="12" t="s">
        <v>20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20</v>
      </c>
      <c r="Z2" s="12" t="s">
        <v>33</v>
      </c>
      <c r="AA2" s="12" t="s">
        <v>34</v>
      </c>
      <c r="AB2" s="12" t="s">
        <v>35</v>
      </c>
      <c r="AC2" s="12" t="s">
        <v>20</v>
      </c>
      <c r="AD2" s="71"/>
      <c r="AE2" s="71"/>
      <c r="AF2" s="12" t="s">
        <v>36</v>
      </c>
      <c r="AG2" s="12" t="s">
        <v>37</v>
      </c>
      <c r="AH2" s="12" t="s">
        <v>36</v>
      </c>
      <c r="AI2" s="12" t="s">
        <v>37</v>
      </c>
      <c r="AJ2" s="12" t="s">
        <v>38</v>
      </c>
      <c r="AK2" s="12" t="s">
        <v>36</v>
      </c>
      <c r="AL2" s="12" t="s">
        <v>37</v>
      </c>
    </row>
    <row r="3" spans="1:38">
      <c r="A3" s="13" t="s">
        <v>39</v>
      </c>
      <c r="B3" s="13"/>
      <c r="C3" s="13"/>
      <c r="D3" s="13"/>
      <c r="E3" s="13"/>
      <c r="F3" s="14"/>
      <c r="G3" s="15"/>
      <c r="H3" s="16">
        <v>337400</v>
      </c>
      <c r="I3" s="13"/>
      <c r="J3" s="15"/>
      <c r="K3" s="13"/>
      <c r="L3" s="14"/>
      <c r="M3" s="15"/>
      <c r="N3" s="15"/>
      <c r="O3" s="16">
        <v>337400</v>
      </c>
      <c r="P3" s="13"/>
      <c r="Q3" s="15"/>
      <c r="R3" s="13"/>
      <c r="S3" s="13"/>
      <c r="T3" s="15"/>
      <c r="U3" s="16">
        <v>337400</v>
      </c>
      <c r="V3" s="13"/>
      <c r="W3" s="15"/>
      <c r="X3" s="13"/>
      <c r="Y3" s="13"/>
      <c r="Z3" s="15"/>
      <c r="AA3" s="15"/>
      <c r="AB3" s="13"/>
      <c r="AC3" s="13"/>
      <c r="AD3" s="13"/>
      <c r="AE3" s="15"/>
      <c r="AF3" s="13"/>
      <c r="AG3" s="13"/>
      <c r="AH3" s="13"/>
      <c r="AI3" s="13"/>
      <c r="AJ3" s="13"/>
      <c r="AK3" s="13"/>
      <c r="AL3" s="13"/>
    </row>
    <row r="4" spans="1:38">
      <c r="A4" s="13" t="s">
        <v>40</v>
      </c>
      <c r="B4" s="13" t="s">
        <v>51</v>
      </c>
      <c r="C4" s="13" t="s">
        <v>41</v>
      </c>
      <c r="D4" s="13" t="s">
        <v>50</v>
      </c>
      <c r="E4" s="13" t="s">
        <v>57</v>
      </c>
      <c r="F4" s="14">
        <v>236</v>
      </c>
      <c r="G4" s="17">
        <v>43928</v>
      </c>
      <c r="H4" s="16">
        <v>86900</v>
      </c>
      <c r="I4" s="13" t="s">
        <v>42</v>
      </c>
      <c r="J4" s="17">
        <v>43928</v>
      </c>
      <c r="K4" s="13" t="s">
        <v>58</v>
      </c>
      <c r="L4" s="14">
        <v>0</v>
      </c>
      <c r="M4" s="18" t="s">
        <v>59</v>
      </c>
      <c r="N4" s="17">
        <v>43928</v>
      </c>
      <c r="O4" s="16">
        <v>86900</v>
      </c>
      <c r="P4" s="13" t="s">
        <v>43</v>
      </c>
      <c r="Q4" s="17">
        <v>43928</v>
      </c>
      <c r="R4" s="13" t="s">
        <v>44</v>
      </c>
      <c r="S4" s="13" t="s">
        <v>58</v>
      </c>
      <c r="T4" s="17">
        <v>43929</v>
      </c>
      <c r="U4" s="16">
        <v>86900</v>
      </c>
      <c r="V4" s="13" t="s">
        <v>45</v>
      </c>
      <c r="W4" s="17">
        <v>43929</v>
      </c>
      <c r="X4" s="13" t="s">
        <v>44</v>
      </c>
      <c r="Y4" s="13" t="s">
        <v>58</v>
      </c>
      <c r="Z4" s="17">
        <v>43929</v>
      </c>
      <c r="AA4" s="18" t="s">
        <v>60</v>
      </c>
      <c r="AB4" s="13" t="s">
        <v>46</v>
      </c>
      <c r="AC4" s="13" t="s">
        <v>58</v>
      </c>
      <c r="AD4" s="13" t="s">
        <v>47</v>
      </c>
      <c r="AE4" s="15"/>
      <c r="AF4" s="13" t="s">
        <v>49</v>
      </c>
      <c r="AG4" s="13" t="s">
        <v>52</v>
      </c>
      <c r="AH4" s="13" t="s">
        <v>49</v>
      </c>
      <c r="AI4" s="13" t="s">
        <v>53</v>
      </c>
      <c r="AJ4" s="13" t="s">
        <v>49</v>
      </c>
      <c r="AK4" s="13" t="s">
        <v>49</v>
      </c>
      <c r="AL4" s="13" t="s">
        <v>52</v>
      </c>
    </row>
    <row r="5" spans="1:38">
      <c r="A5" s="13" t="s">
        <v>40</v>
      </c>
      <c r="B5" s="13" t="s">
        <v>51</v>
      </c>
      <c r="C5" s="13" t="s">
        <v>41</v>
      </c>
      <c r="D5" s="13" t="s">
        <v>50</v>
      </c>
      <c r="E5" s="13" t="s">
        <v>57</v>
      </c>
      <c r="F5" s="14">
        <v>256</v>
      </c>
      <c r="G5" s="17">
        <v>43937</v>
      </c>
      <c r="H5" s="16">
        <v>120000</v>
      </c>
      <c r="I5" s="13" t="s">
        <v>42</v>
      </c>
      <c r="J5" s="17">
        <v>43937</v>
      </c>
      <c r="K5" s="13" t="s">
        <v>61</v>
      </c>
      <c r="L5" s="14">
        <v>0</v>
      </c>
      <c r="M5" s="18" t="s">
        <v>62</v>
      </c>
      <c r="N5" s="17">
        <v>43937</v>
      </c>
      <c r="O5" s="16">
        <v>120000</v>
      </c>
      <c r="P5" s="13" t="s">
        <v>43</v>
      </c>
      <c r="Q5" s="17">
        <v>43937</v>
      </c>
      <c r="R5" s="13" t="s">
        <v>44</v>
      </c>
      <c r="S5" s="13" t="s">
        <v>61</v>
      </c>
      <c r="T5" s="17">
        <v>43938</v>
      </c>
      <c r="U5" s="16">
        <v>120000</v>
      </c>
      <c r="V5" s="13" t="s">
        <v>45</v>
      </c>
      <c r="W5" s="17">
        <v>43938</v>
      </c>
      <c r="X5" s="13" t="s">
        <v>44</v>
      </c>
      <c r="Y5" s="13" t="s">
        <v>61</v>
      </c>
      <c r="Z5" s="17">
        <v>43938</v>
      </c>
      <c r="AA5" s="18" t="s">
        <v>63</v>
      </c>
      <c r="AB5" s="13" t="s">
        <v>46</v>
      </c>
      <c r="AC5" s="13" t="s">
        <v>61</v>
      </c>
      <c r="AD5" s="13" t="s">
        <v>47</v>
      </c>
      <c r="AE5" s="15"/>
      <c r="AF5" s="13" t="s">
        <v>49</v>
      </c>
      <c r="AG5" s="13" t="s">
        <v>52</v>
      </c>
      <c r="AH5" s="13" t="s">
        <v>49</v>
      </c>
      <c r="AI5" s="13" t="s">
        <v>53</v>
      </c>
      <c r="AJ5" s="13" t="s">
        <v>49</v>
      </c>
      <c r="AK5" s="13" t="s">
        <v>49</v>
      </c>
      <c r="AL5" s="13" t="s">
        <v>52</v>
      </c>
    </row>
    <row r="6" spans="1:38">
      <c r="A6" s="13" t="s">
        <v>40</v>
      </c>
      <c r="B6" s="13" t="s">
        <v>51</v>
      </c>
      <c r="C6" s="13" t="s">
        <v>41</v>
      </c>
      <c r="D6" s="13" t="s">
        <v>50</v>
      </c>
      <c r="E6" s="13" t="s">
        <v>57</v>
      </c>
      <c r="F6" s="14">
        <v>287</v>
      </c>
      <c r="G6" s="17">
        <v>43945</v>
      </c>
      <c r="H6" s="16">
        <v>130500</v>
      </c>
      <c r="I6" s="13" t="s">
        <v>42</v>
      </c>
      <c r="J6" s="17">
        <v>43945</v>
      </c>
      <c r="K6" s="13" t="s">
        <v>64</v>
      </c>
      <c r="L6" s="14">
        <v>0</v>
      </c>
      <c r="M6" s="18" t="s">
        <v>65</v>
      </c>
      <c r="N6" s="17">
        <v>43949</v>
      </c>
      <c r="O6" s="16">
        <v>130500</v>
      </c>
      <c r="P6" s="13" t="s">
        <v>43</v>
      </c>
      <c r="Q6" s="17">
        <v>43945</v>
      </c>
      <c r="R6" s="13" t="s">
        <v>44</v>
      </c>
      <c r="S6" s="13" t="s">
        <v>64</v>
      </c>
      <c r="T6" s="17">
        <v>43950</v>
      </c>
      <c r="U6" s="16">
        <v>130500</v>
      </c>
      <c r="V6" s="13" t="s">
        <v>45</v>
      </c>
      <c r="W6" s="17">
        <v>43950</v>
      </c>
      <c r="X6" s="13" t="s">
        <v>44</v>
      </c>
      <c r="Y6" s="13" t="s">
        <v>64</v>
      </c>
      <c r="Z6" s="17">
        <v>43950</v>
      </c>
      <c r="AA6" s="18" t="s">
        <v>66</v>
      </c>
      <c r="AB6" s="13" t="s">
        <v>46</v>
      </c>
      <c r="AC6" s="13" t="s">
        <v>64</v>
      </c>
      <c r="AD6" s="13" t="s">
        <v>47</v>
      </c>
      <c r="AE6" s="15"/>
      <c r="AF6" s="13" t="s">
        <v>49</v>
      </c>
      <c r="AG6" s="13" t="s">
        <v>52</v>
      </c>
      <c r="AH6" s="13" t="s">
        <v>49</v>
      </c>
      <c r="AI6" s="13" t="s">
        <v>53</v>
      </c>
      <c r="AJ6" s="13" t="s">
        <v>49</v>
      </c>
      <c r="AK6" s="13" t="s">
        <v>49</v>
      </c>
      <c r="AL6" s="13" t="s">
        <v>52</v>
      </c>
    </row>
    <row r="7" spans="1:38">
      <c r="A7" s="13"/>
      <c r="B7" s="13"/>
      <c r="C7" s="13"/>
      <c r="D7" s="13"/>
      <c r="E7" s="13"/>
      <c r="F7" s="14"/>
      <c r="G7" s="17"/>
      <c r="H7" s="16"/>
      <c r="I7" s="13"/>
      <c r="J7" s="17"/>
      <c r="K7" s="13"/>
      <c r="L7" s="14"/>
      <c r="M7" s="18"/>
      <c r="N7" s="17"/>
      <c r="O7" s="16"/>
      <c r="P7" s="13"/>
      <c r="Q7" s="17"/>
      <c r="R7" s="13"/>
      <c r="S7" s="13"/>
      <c r="T7" s="17"/>
      <c r="U7" s="16"/>
      <c r="V7" s="13"/>
      <c r="W7" s="17"/>
      <c r="X7" s="13"/>
      <c r="Y7" s="13"/>
      <c r="Z7" s="17"/>
      <c r="AA7" s="18"/>
      <c r="AB7" s="13"/>
      <c r="AC7" s="13"/>
      <c r="AD7" s="13"/>
      <c r="AE7" s="15"/>
      <c r="AF7" s="13"/>
      <c r="AG7" s="13"/>
      <c r="AH7" s="13"/>
      <c r="AI7" s="13"/>
      <c r="AJ7" s="13"/>
      <c r="AK7" s="13"/>
      <c r="AL7" s="13"/>
    </row>
    <row r="8" spans="1:38">
      <c r="A8" s="13"/>
      <c r="B8" s="13"/>
      <c r="C8" s="13"/>
      <c r="D8" s="13"/>
      <c r="E8" s="13"/>
      <c r="F8" s="14"/>
      <c r="G8" s="17"/>
      <c r="H8" s="16"/>
      <c r="I8" s="13"/>
      <c r="J8" s="17"/>
      <c r="K8" s="13"/>
      <c r="L8" s="14"/>
      <c r="M8" s="18"/>
      <c r="N8" s="17"/>
      <c r="O8" s="16"/>
      <c r="P8" s="13"/>
      <c r="Q8" s="17"/>
      <c r="R8" s="13"/>
      <c r="S8" s="13"/>
      <c r="T8" s="17"/>
      <c r="U8" s="16"/>
      <c r="V8" s="13"/>
      <c r="W8" s="17"/>
      <c r="X8" s="13"/>
      <c r="Y8" s="13"/>
      <c r="Z8" s="17"/>
      <c r="AA8" s="18"/>
      <c r="AB8" s="13"/>
      <c r="AC8" s="13"/>
      <c r="AD8" s="13"/>
      <c r="AE8" s="15"/>
      <c r="AF8" s="13"/>
      <c r="AG8" s="13"/>
      <c r="AH8" s="13"/>
      <c r="AI8" s="13"/>
      <c r="AJ8" s="13"/>
      <c r="AK8" s="13"/>
      <c r="AL8" s="13"/>
    </row>
    <row r="9" spans="1:38">
      <c r="A9" s="13"/>
      <c r="B9" s="13"/>
      <c r="C9" s="13"/>
      <c r="D9" s="13"/>
      <c r="E9" s="13"/>
      <c r="F9" s="14"/>
      <c r="G9" s="17"/>
      <c r="H9" s="16"/>
      <c r="I9" s="13"/>
      <c r="J9" s="17"/>
      <c r="K9" s="13"/>
      <c r="L9" s="14"/>
      <c r="M9" s="18"/>
      <c r="N9" s="17"/>
      <c r="O9" s="16"/>
      <c r="P9" s="13"/>
      <c r="Q9" s="17"/>
      <c r="R9" s="13"/>
      <c r="S9" s="13"/>
      <c r="T9" s="17"/>
      <c r="U9" s="16"/>
      <c r="V9" s="13"/>
      <c r="W9" s="17"/>
      <c r="X9" s="13"/>
      <c r="Y9" s="13"/>
      <c r="Z9" s="17"/>
      <c r="AA9" s="18"/>
      <c r="AB9" s="13"/>
      <c r="AC9" s="13"/>
      <c r="AD9" s="13"/>
      <c r="AE9" s="15"/>
      <c r="AF9" s="13"/>
      <c r="AG9" s="13"/>
      <c r="AH9" s="13"/>
      <c r="AI9" s="13"/>
      <c r="AJ9" s="13"/>
      <c r="AK9" s="13"/>
      <c r="AL9" s="13"/>
    </row>
    <row r="10" spans="1:38">
      <c r="A10" s="13"/>
      <c r="B10" s="13"/>
      <c r="C10" s="13"/>
      <c r="D10" s="13"/>
      <c r="E10" s="13"/>
      <c r="F10" s="14"/>
      <c r="G10" s="17"/>
      <c r="H10" s="16"/>
      <c r="I10" s="13"/>
      <c r="J10" s="17"/>
      <c r="K10" s="13"/>
      <c r="L10" s="14"/>
      <c r="M10" s="18"/>
      <c r="N10" s="17"/>
      <c r="O10" s="16"/>
      <c r="P10" s="13"/>
      <c r="Q10" s="17"/>
      <c r="R10" s="13"/>
      <c r="S10" s="13"/>
      <c r="T10" s="17"/>
      <c r="U10" s="16"/>
      <c r="V10" s="13"/>
      <c r="W10" s="17"/>
      <c r="X10" s="13"/>
      <c r="Y10" s="13"/>
      <c r="Z10" s="17"/>
      <c r="AA10" s="18"/>
      <c r="AB10" s="13"/>
      <c r="AC10" s="13"/>
      <c r="AD10" s="13"/>
      <c r="AE10" s="15"/>
      <c r="AF10" s="13"/>
      <c r="AG10" s="13"/>
      <c r="AH10" s="13"/>
      <c r="AI10" s="13"/>
      <c r="AJ10" s="13"/>
      <c r="AK10" s="13"/>
      <c r="AL10" s="13"/>
    </row>
    <row r="11" spans="1:38">
      <c r="A11" s="13"/>
      <c r="B11" s="13"/>
      <c r="C11" s="13"/>
      <c r="D11" s="13"/>
      <c r="E11" s="13"/>
      <c r="F11" s="14"/>
      <c r="G11" s="17"/>
      <c r="H11" s="16"/>
      <c r="I11" s="13"/>
      <c r="J11" s="17"/>
      <c r="K11" s="13"/>
      <c r="L11" s="14"/>
      <c r="M11" s="18"/>
      <c r="N11" s="17"/>
      <c r="O11" s="16"/>
      <c r="P11" s="13"/>
      <c r="Q11" s="17"/>
      <c r="R11" s="13"/>
      <c r="S11" s="13"/>
      <c r="T11" s="17"/>
      <c r="U11" s="16"/>
      <c r="V11" s="13"/>
      <c r="W11" s="17"/>
      <c r="X11" s="13"/>
      <c r="Y11" s="13"/>
      <c r="Z11" s="17"/>
      <c r="AA11" s="18"/>
      <c r="AB11" s="13"/>
      <c r="AC11" s="13"/>
      <c r="AD11" s="13"/>
      <c r="AE11" s="15"/>
      <c r="AF11" s="13"/>
      <c r="AG11" s="13"/>
      <c r="AH11" s="13"/>
      <c r="AI11" s="13"/>
      <c r="AJ11" s="13"/>
      <c r="AK11" s="13"/>
      <c r="AL11" s="13"/>
    </row>
    <row r="12" spans="1:38">
      <c r="A12" s="13"/>
      <c r="B12" s="13"/>
      <c r="C12" s="13"/>
      <c r="D12" s="13"/>
      <c r="E12" s="13"/>
      <c r="F12" s="14"/>
      <c r="G12" s="17"/>
      <c r="H12" s="16"/>
      <c r="I12" s="13"/>
      <c r="J12" s="17"/>
      <c r="K12" s="13"/>
      <c r="L12" s="14"/>
      <c r="M12" s="18"/>
      <c r="N12" s="17"/>
      <c r="O12" s="16"/>
      <c r="P12" s="13"/>
      <c r="Q12" s="17"/>
      <c r="R12" s="13"/>
      <c r="S12" s="13"/>
      <c r="T12" s="17"/>
      <c r="U12" s="16"/>
      <c r="V12" s="13"/>
      <c r="W12" s="17"/>
      <c r="X12" s="13"/>
      <c r="Y12" s="13"/>
      <c r="Z12" s="17"/>
      <c r="AA12" s="18"/>
      <c r="AB12" s="13"/>
      <c r="AC12" s="13"/>
      <c r="AD12" s="13"/>
      <c r="AE12" s="15"/>
      <c r="AF12" s="13"/>
      <c r="AG12" s="13"/>
      <c r="AH12" s="13"/>
      <c r="AI12" s="13"/>
      <c r="AJ12" s="13"/>
      <c r="AK12" s="13"/>
      <c r="AL12" s="13"/>
    </row>
    <row r="13" spans="1:38">
      <c r="A13" s="13"/>
      <c r="B13" s="13"/>
      <c r="C13" s="13"/>
      <c r="D13" s="13"/>
      <c r="E13" s="13"/>
      <c r="F13" s="14"/>
      <c r="G13" s="17"/>
      <c r="H13" s="16"/>
      <c r="I13" s="13"/>
      <c r="J13" s="17"/>
      <c r="K13" s="13"/>
      <c r="L13" s="14"/>
      <c r="M13" s="18"/>
      <c r="N13" s="17"/>
      <c r="O13" s="16"/>
      <c r="P13" s="13"/>
      <c r="Q13" s="17"/>
      <c r="R13" s="13"/>
      <c r="S13" s="13"/>
      <c r="T13" s="17"/>
      <c r="U13" s="16"/>
      <c r="V13" s="13"/>
      <c r="W13" s="17"/>
      <c r="X13" s="13"/>
      <c r="Y13" s="13"/>
      <c r="Z13" s="17"/>
      <c r="AA13" s="18"/>
      <c r="AB13" s="13"/>
      <c r="AC13" s="13"/>
      <c r="AD13" s="13"/>
      <c r="AE13" s="15"/>
      <c r="AF13" s="13"/>
      <c r="AG13" s="13"/>
      <c r="AH13" s="13"/>
      <c r="AI13" s="13"/>
      <c r="AJ13" s="13"/>
      <c r="AK13" s="13"/>
      <c r="AL13" s="13"/>
    </row>
    <row r="14" spans="1:38">
      <c r="A14" s="13"/>
      <c r="B14" s="13"/>
      <c r="C14" s="13"/>
      <c r="D14" s="13"/>
      <c r="E14" s="13"/>
      <c r="F14" s="14"/>
      <c r="G14" s="17"/>
      <c r="H14" s="16"/>
      <c r="I14" s="13"/>
      <c r="J14" s="17"/>
      <c r="K14" s="13"/>
      <c r="L14" s="14"/>
      <c r="M14" s="18"/>
      <c r="N14" s="17"/>
      <c r="O14" s="16"/>
      <c r="P14" s="13"/>
      <c r="Q14" s="17"/>
      <c r="R14" s="13"/>
      <c r="S14" s="13"/>
      <c r="T14" s="17"/>
      <c r="U14" s="16"/>
      <c r="V14" s="13"/>
      <c r="W14" s="17"/>
      <c r="X14" s="13"/>
      <c r="Y14" s="13"/>
      <c r="Z14" s="17"/>
      <c r="AA14" s="18"/>
      <c r="AB14" s="13"/>
      <c r="AC14" s="13"/>
      <c r="AD14" s="13"/>
      <c r="AE14" s="15"/>
      <c r="AF14" s="13"/>
      <c r="AG14" s="13"/>
      <c r="AH14" s="13"/>
      <c r="AI14" s="13"/>
      <c r="AJ14" s="13"/>
      <c r="AK14" s="13"/>
      <c r="AL14" s="13"/>
    </row>
    <row r="15" spans="1:38">
      <c r="A15" s="13"/>
      <c r="B15" s="13"/>
      <c r="C15" s="13"/>
      <c r="D15" s="13"/>
      <c r="E15" s="13"/>
      <c r="F15" s="14"/>
      <c r="G15" s="17"/>
      <c r="H15" s="16"/>
      <c r="I15" s="13"/>
      <c r="J15" s="17"/>
      <c r="K15" s="13"/>
      <c r="L15" s="14"/>
      <c r="M15" s="18"/>
      <c r="N15" s="17"/>
      <c r="O15" s="16"/>
      <c r="P15" s="13"/>
      <c r="Q15" s="17"/>
      <c r="R15" s="13"/>
      <c r="S15" s="13"/>
      <c r="T15" s="17"/>
      <c r="U15" s="16"/>
      <c r="V15" s="13"/>
      <c r="W15" s="17"/>
      <c r="X15" s="13"/>
      <c r="Y15" s="13"/>
      <c r="Z15" s="17"/>
      <c r="AA15" s="18"/>
      <c r="AB15" s="13"/>
      <c r="AC15" s="13"/>
      <c r="AD15" s="13"/>
      <c r="AE15" s="15"/>
      <c r="AF15" s="13"/>
      <c r="AG15" s="13"/>
      <c r="AH15" s="13"/>
      <c r="AI15" s="13"/>
      <c r="AJ15" s="13"/>
      <c r="AK15" s="13"/>
      <c r="AL15" s="13"/>
    </row>
    <row r="16" spans="1:38">
      <c r="A16" s="13"/>
      <c r="B16" s="13"/>
      <c r="C16" s="13"/>
      <c r="D16" s="13"/>
      <c r="E16" s="13"/>
      <c r="F16" s="14"/>
      <c r="G16" s="17"/>
      <c r="H16" s="16"/>
      <c r="I16" s="13"/>
      <c r="J16" s="17"/>
      <c r="K16" s="13"/>
      <c r="L16" s="14"/>
      <c r="M16" s="18"/>
      <c r="N16" s="17"/>
      <c r="O16" s="16"/>
      <c r="P16" s="13"/>
      <c r="Q16" s="17"/>
      <c r="R16" s="13"/>
      <c r="S16" s="13"/>
      <c r="T16" s="17"/>
      <c r="U16" s="16"/>
      <c r="V16" s="13"/>
      <c r="W16" s="17"/>
      <c r="X16" s="13"/>
      <c r="Y16" s="13"/>
      <c r="Z16" s="17"/>
      <c r="AA16" s="18"/>
      <c r="AB16" s="13"/>
      <c r="AC16" s="13"/>
      <c r="AD16" s="13"/>
      <c r="AE16" s="15"/>
      <c r="AF16" s="13"/>
      <c r="AG16" s="13"/>
      <c r="AH16" s="13"/>
      <c r="AI16" s="13"/>
      <c r="AJ16" s="13"/>
      <c r="AK16" s="13"/>
      <c r="AL16" s="13"/>
    </row>
    <row r="17" spans="1:38">
      <c r="A17" s="13"/>
      <c r="B17" s="13"/>
      <c r="C17" s="13"/>
      <c r="D17" s="13"/>
      <c r="E17" s="13"/>
      <c r="F17" s="14"/>
      <c r="G17" s="17"/>
      <c r="H17" s="16"/>
      <c r="I17" s="13"/>
      <c r="J17" s="17"/>
      <c r="K17" s="13"/>
      <c r="L17" s="14"/>
      <c r="M17" s="18"/>
      <c r="N17" s="17"/>
      <c r="O17" s="16"/>
      <c r="P17" s="13"/>
      <c r="Q17" s="17"/>
      <c r="R17" s="13"/>
      <c r="S17" s="13"/>
      <c r="T17" s="17"/>
      <c r="U17" s="16"/>
      <c r="V17" s="13"/>
      <c r="W17" s="17"/>
      <c r="X17" s="13"/>
      <c r="Y17" s="13"/>
      <c r="Z17" s="17"/>
      <c r="AA17" s="18"/>
      <c r="AB17" s="13"/>
      <c r="AC17" s="13"/>
      <c r="AD17" s="13"/>
      <c r="AE17" s="15"/>
      <c r="AF17" s="13"/>
      <c r="AG17" s="13"/>
      <c r="AH17" s="13"/>
      <c r="AI17" s="13"/>
      <c r="AJ17" s="13"/>
      <c r="AK17" s="13"/>
      <c r="AL17" s="13"/>
    </row>
    <row r="18" spans="1:38">
      <c r="A18" s="13"/>
      <c r="B18" s="13"/>
      <c r="C18" s="13"/>
      <c r="D18" s="13"/>
      <c r="E18" s="13"/>
      <c r="F18" s="14"/>
      <c r="G18" s="17"/>
      <c r="H18" s="16"/>
      <c r="I18" s="13"/>
      <c r="J18" s="17"/>
      <c r="K18" s="13"/>
      <c r="L18" s="14"/>
      <c r="M18" s="18"/>
      <c r="N18" s="17"/>
      <c r="O18" s="16"/>
      <c r="P18" s="13"/>
      <c r="Q18" s="17"/>
      <c r="R18" s="13"/>
      <c r="S18" s="13"/>
      <c r="T18" s="17"/>
      <c r="U18" s="16"/>
      <c r="V18" s="13"/>
      <c r="W18" s="17"/>
      <c r="X18" s="13"/>
      <c r="Y18" s="13"/>
      <c r="Z18" s="17"/>
      <c r="AA18" s="18"/>
      <c r="AB18" s="13"/>
      <c r="AC18" s="13"/>
      <c r="AD18" s="13"/>
      <c r="AE18" s="15"/>
      <c r="AF18" s="13"/>
      <c r="AG18" s="13"/>
      <c r="AH18" s="13"/>
      <c r="AI18" s="13"/>
      <c r="AJ18" s="13"/>
      <c r="AK18" s="13"/>
      <c r="AL18" s="13"/>
    </row>
    <row r="19" spans="1:38">
      <c r="A19" s="13"/>
      <c r="B19" s="13"/>
      <c r="C19" s="13"/>
      <c r="D19" s="13"/>
      <c r="E19" s="13"/>
      <c r="F19" s="14"/>
      <c r="G19" s="17"/>
      <c r="H19" s="16"/>
      <c r="I19" s="13"/>
      <c r="J19" s="17"/>
      <c r="K19" s="13"/>
      <c r="L19" s="14"/>
      <c r="M19" s="18"/>
      <c r="N19" s="17"/>
      <c r="O19" s="16"/>
      <c r="P19" s="13"/>
      <c r="Q19" s="17"/>
      <c r="R19" s="13"/>
      <c r="S19" s="13"/>
      <c r="T19" s="17"/>
      <c r="U19" s="16"/>
      <c r="V19" s="13"/>
      <c r="W19" s="17"/>
      <c r="X19" s="13"/>
      <c r="Y19" s="13"/>
      <c r="Z19" s="17"/>
      <c r="AA19" s="18"/>
      <c r="AB19" s="13"/>
      <c r="AC19" s="13"/>
      <c r="AD19" s="13"/>
      <c r="AE19" s="15"/>
      <c r="AF19" s="13"/>
      <c r="AG19" s="13"/>
      <c r="AH19" s="13"/>
      <c r="AI19" s="13"/>
      <c r="AJ19" s="13"/>
      <c r="AK19" s="13"/>
      <c r="AL19" s="13"/>
    </row>
    <row r="20" spans="1:38">
      <c r="A20" s="13"/>
      <c r="B20" s="13"/>
      <c r="C20" s="13"/>
      <c r="D20" s="13"/>
      <c r="E20" s="13"/>
      <c r="F20" s="14"/>
      <c r="G20" s="17"/>
      <c r="H20" s="16"/>
      <c r="I20" s="13"/>
      <c r="J20" s="17"/>
      <c r="K20" s="13"/>
      <c r="L20" s="14"/>
      <c r="M20" s="18"/>
      <c r="N20" s="17"/>
      <c r="O20" s="16"/>
      <c r="P20" s="13"/>
      <c r="Q20" s="17"/>
      <c r="R20" s="13"/>
      <c r="S20" s="13"/>
      <c r="T20" s="17"/>
      <c r="U20" s="16"/>
      <c r="V20" s="13"/>
      <c r="W20" s="17"/>
      <c r="X20" s="13"/>
      <c r="Y20" s="13"/>
      <c r="Z20" s="17"/>
      <c r="AA20" s="18"/>
      <c r="AB20" s="13"/>
      <c r="AC20" s="13"/>
      <c r="AD20" s="13"/>
      <c r="AE20" s="15"/>
      <c r="AF20" s="13"/>
      <c r="AG20" s="13"/>
      <c r="AH20" s="13"/>
      <c r="AI20" s="13"/>
      <c r="AJ20" s="13"/>
      <c r="AK20" s="13"/>
      <c r="AL20" s="13"/>
    </row>
    <row r="21" spans="1:38">
      <c r="A21" s="13"/>
      <c r="B21" s="13"/>
      <c r="C21" s="13"/>
      <c r="D21" s="13"/>
      <c r="E21" s="13"/>
      <c r="F21" s="14"/>
      <c r="G21" s="17"/>
      <c r="H21" s="16"/>
      <c r="I21" s="13"/>
      <c r="J21" s="17"/>
      <c r="K21" s="13"/>
      <c r="L21" s="14"/>
      <c r="M21" s="18"/>
      <c r="N21" s="17"/>
      <c r="O21" s="16"/>
      <c r="P21" s="13"/>
      <c r="Q21" s="17"/>
      <c r="R21" s="13"/>
      <c r="S21" s="13"/>
      <c r="T21" s="17"/>
      <c r="U21" s="16"/>
      <c r="V21" s="13"/>
      <c r="W21" s="17"/>
      <c r="X21" s="13"/>
      <c r="Y21" s="13"/>
      <c r="Z21" s="17"/>
      <c r="AA21" s="18"/>
      <c r="AB21" s="13"/>
      <c r="AC21" s="13"/>
      <c r="AD21" s="13"/>
      <c r="AE21" s="15"/>
      <c r="AF21" s="13"/>
      <c r="AG21" s="13"/>
      <c r="AH21" s="13"/>
      <c r="AI21" s="13"/>
      <c r="AJ21" s="13"/>
      <c r="AK21" s="13"/>
      <c r="AL21" s="13"/>
    </row>
    <row r="22" spans="1:38">
      <c r="A22" s="13"/>
      <c r="B22" s="13"/>
      <c r="C22" s="13"/>
      <c r="D22" s="13"/>
      <c r="E22" s="13"/>
      <c r="F22" s="14"/>
      <c r="G22" s="17"/>
      <c r="H22" s="16"/>
      <c r="I22" s="13"/>
      <c r="J22" s="17"/>
      <c r="K22" s="13"/>
      <c r="L22" s="14"/>
      <c r="M22" s="18"/>
      <c r="N22" s="17"/>
      <c r="O22" s="16"/>
      <c r="P22" s="13"/>
      <c r="Q22" s="17"/>
      <c r="R22" s="13"/>
      <c r="S22" s="13"/>
      <c r="T22" s="17"/>
      <c r="U22" s="16"/>
      <c r="V22" s="13"/>
      <c r="W22" s="17"/>
      <c r="X22" s="13"/>
      <c r="Y22" s="13"/>
      <c r="Z22" s="17"/>
      <c r="AA22" s="18"/>
      <c r="AB22" s="13"/>
      <c r="AC22" s="13"/>
      <c r="AD22" s="13"/>
      <c r="AE22" s="15"/>
      <c r="AF22" s="13"/>
      <c r="AG22" s="13"/>
      <c r="AH22" s="13"/>
      <c r="AI22" s="13"/>
      <c r="AJ22" s="13"/>
      <c r="AK22" s="13"/>
      <c r="AL22" s="13"/>
    </row>
    <row r="23" spans="1:38">
      <c r="A23" s="13"/>
      <c r="B23" s="13"/>
      <c r="C23" s="13"/>
      <c r="D23" s="13"/>
      <c r="E23" s="13"/>
      <c r="F23" s="14"/>
      <c r="G23" s="17"/>
      <c r="H23" s="16"/>
      <c r="I23" s="13"/>
      <c r="J23" s="17"/>
      <c r="K23" s="13"/>
      <c r="L23" s="14"/>
      <c r="M23" s="18"/>
      <c r="N23" s="17"/>
      <c r="O23" s="16"/>
      <c r="P23" s="13"/>
      <c r="Q23" s="17"/>
      <c r="R23" s="13"/>
      <c r="S23" s="13"/>
      <c r="T23" s="17"/>
      <c r="U23" s="16"/>
      <c r="V23" s="13"/>
      <c r="W23" s="17"/>
      <c r="X23" s="13"/>
      <c r="Y23" s="13"/>
      <c r="Z23" s="17"/>
      <c r="AA23" s="18"/>
      <c r="AB23" s="13"/>
      <c r="AC23" s="13"/>
      <c r="AD23" s="13"/>
      <c r="AE23" s="15"/>
      <c r="AF23" s="13"/>
      <c r="AG23" s="13"/>
      <c r="AH23" s="13"/>
      <c r="AI23" s="13"/>
      <c r="AJ23" s="13"/>
      <c r="AK23" s="13"/>
      <c r="AL23" s="13"/>
    </row>
    <row r="24" spans="1:38">
      <c r="A24" s="13"/>
      <c r="B24" s="13"/>
      <c r="C24" s="13"/>
      <c r="D24" s="13"/>
      <c r="E24" s="13"/>
      <c r="F24" s="14"/>
      <c r="G24" s="17"/>
      <c r="H24" s="16"/>
      <c r="I24" s="13"/>
      <c r="J24" s="17"/>
      <c r="K24" s="13"/>
      <c r="L24" s="14"/>
      <c r="M24" s="18"/>
      <c r="N24" s="17"/>
      <c r="O24" s="16"/>
      <c r="P24" s="13"/>
      <c r="Q24" s="17"/>
      <c r="R24" s="13"/>
      <c r="S24" s="13"/>
      <c r="T24" s="17"/>
      <c r="U24" s="16"/>
      <c r="V24" s="13"/>
      <c r="W24" s="17"/>
      <c r="X24" s="13"/>
      <c r="Y24" s="13"/>
      <c r="Z24" s="17"/>
      <c r="AA24" s="18"/>
      <c r="AB24" s="13"/>
      <c r="AC24" s="13"/>
      <c r="AD24" s="13"/>
      <c r="AE24" s="15"/>
      <c r="AF24" s="13"/>
      <c r="AG24" s="13"/>
      <c r="AH24" s="13"/>
      <c r="AI24" s="13"/>
      <c r="AJ24" s="13"/>
      <c r="AK24" s="13"/>
      <c r="AL24" s="13"/>
    </row>
    <row r="25" spans="1:38">
      <c r="A25" s="13"/>
      <c r="B25" s="13"/>
      <c r="C25" s="13"/>
      <c r="D25" s="13"/>
      <c r="E25" s="13"/>
      <c r="F25" s="14"/>
      <c r="G25" s="17"/>
      <c r="H25" s="16"/>
      <c r="I25" s="13"/>
      <c r="J25" s="17"/>
      <c r="K25" s="13"/>
      <c r="L25" s="14"/>
      <c r="M25" s="18"/>
      <c r="N25" s="17"/>
      <c r="O25" s="16"/>
      <c r="P25" s="13"/>
      <c r="Q25" s="17"/>
      <c r="R25" s="13"/>
      <c r="S25" s="13"/>
      <c r="T25" s="17"/>
      <c r="U25" s="16"/>
      <c r="V25" s="13"/>
      <c r="W25" s="17"/>
      <c r="X25" s="13"/>
      <c r="Y25" s="13"/>
      <c r="Z25" s="17"/>
      <c r="AA25" s="18"/>
      <c r="AB25" s="13"/>
      <c r="AC25" s="13"/>
      <c r="AD25" s="13"/>
      <c r="AE25" s="15"/>
      <c r="AF25" s="13"/>
      <c r="AG25" s="13"/>
      <c r="AH25" s="13"/>
      <c r="AI25" s="13"/>
      <c r="AJ25" s="13"/>
      <c r="AK25" s="13"/>
      <c r="AL25" s="13"/>
    </row>
    <row r="26" spans="1:38">
      <c r="A26" s="13"/>
      <c r="B26" s="13"/>
      <c r="C26" s="13"/>
      <c r="D26" s="13"/>
      <c r="E26" s="13"/>
      <c r="F26" s="14"/>
      <c r="G26" s="17"/>
      <c r="H26" s="16"/>
      <c r="I26" s="13"/>
      <c r="J26" s="17"/>
      <c r="K26" s="13"/>
      <c r="L26" s="14"/>
      <c r="M26" s="18"/>
      <c r="N26" s="17"/>
      <c r="O26" s="16"/>
      <c r="P26" s="13"/>
      <c r="Q26" s="17"/>
      <c r="R26" s="13"/>
      <c r="S26" s="13"/>
      <c r="T26" s="17"/>
      <c r="U26" s="16"/>
      <c r="V26" s="13"/>
      <c r="W26" s="17"/>
      <c r="X26" s="13"/>
      <c r="Y26" s="13"/>
      <c r="Z26" s="17"/>
      <c r="AA26" s="18"/>
      <c r="AB26" s="13"/>
      <c r="AC26" s="13"/>
      <c r="AD26" s="13"/>
      <c r="AE26" s="15"/>
      <c r="AF26" s="13"/>
      <c r="AG26" s="13"/>
      <c r="AH26" s="13"/>
      <c r="AI26" s="13"/>
      <c r="AJ26" s="13"/>
      <c r="AK26" s="13"/>
      <c r="AL26" s="13"/>
    </row>
    <row r="27" spans="1:38">
      <c r="A27" s="13"/>
      <c r="B27" s="13"/>
      <c r="C27" s="13"/>
      <c r="D27" s="13"/>
      <c r="E27" s="13"/>
      <c r="F27" s="14"/>
      <c r="G27" s="17"/>
      <c r="H27" s="16"/>
      <c r="I27" s="13"/>
      <c r="J27" s="17"/>
      <c r="K27" s="13"/>
      <c r="L27" s="14"/>
      <c r="M27" s="18"/>
      <c r="N27" s="17"/>
      <c r="O27" s="16"/>
      <c r="P27" s="13"/>
      <c r="Q27" s="17"/>
      <c r="R27" s="13"/>
      <c r="S27" s="13"/>
      <c r="T27" s="17"/>
      <c r="U27" s="16"/>
      <c r="V27" s="13"/>
      <c r="W27" s="17"/>
      <c r="X27" s="13"/>
      <c r="Y27" s="13"/>
      <c r="Z27" s="17"/>
      <c r="AA27" s="18"/>
      <c r="AB27" s="13"/>
      <c r="AC27" s="13"/>
      <c r="AD27" s="13"/>
      <c r="AE27" s="15"/>
      <c r="AF27" s="13"/>
      <c r="AG27" s="13"/>
      <c r="AH27" s="13"/>
      <c r="AI27" s="13"/>
      <c r="AJ27" s="13"/>
      <c r="AK27" s="13"/>
      <c r="AL27" s="13"/>
    </row>
    <row r="28" spans="1:38">
      <c r="A28" s="13"/>
      <c r="B28" s="13"/>
      <c r="C28" s="13"/>
      <c r="D28" s="13"/>
      <c r="E28" s="13"/>
      <c r="F28" s="14"/>
      <c r="G28" s="17"/>
      <c r="H28" s="16"/>
      <c r="I28" s="13"/>
      <c r="J28" s="17"/>
      <c r="K28" s="13"/>
      <c r="L28" s="14"/>
      <c r="M28" s="18"/>
      <c r="N28" s="17"/>
      <c r="O28" s="16"/>
      <c r="P28" s="13"/>
      <c r="Q28" s="17"/>
      <c r="R28" s="13"/>
      <c r="S28" s="13"/>
      <c r="T28" s="17"/>
      <c r="U28" s="16"/>
      <c r="V28" s="13"/>
      <c r="W28" s="17"/>
      <c r="X28" s="13"/>
      <c r="Y28" s="13"/>
      <c r="Z28" s="17"/>
      <c r="AA28" s="18"/>
      <c r="AB28" s="13"/>
      <c r="AC28" s="13"/>
      <c r="AD28" s="13"/>
      <c r="AE28" s="15"/>
      <c r="AF28" s="13"/>
      <c r="AG28" s="13"/>
      <c r="AH28" s="13"/>
      <c r="AI28" s="13"/>
      <c r="AJ28" s="13"/>
      <c r="AK28" s="13"/>
      <c r="AL28" s="13"/>
    </row>
    <row r="29" spans="1:38">
      <c r="A29" s="13"/>
      <c r="B29" s="13"/>
      <c r="C29" s="13"/>
      <c r="D29" s="13"/>
      <c r="E29" s="13"/>
      <c r="F29" s="14"/>
      <c r="G29" s="17"/>
      <c r="H29" s="16"/>
      <c r="I29" s="13"/>
      <c r="J29" s="17"/>
      <c r="K29" s="13"/>
      <c r="L29" s="14"/>
      <c r="M29" s="18"/>
      <c r="N29" s="17"/>
      <c r="O29" s="16"/>
      <c r="P29" s="13"/>
      <c r="Q29" s="17"/>
      <c r="R29" s="13"/>
      <c r="S29" s="13"/>
      <c r="T29" s="17"/>
      <c r="U29" s="16"/>
      <c r="V29" s="13"/>
      <c r="W29" s="17"/>
      <c r="X29" s="13"/>
      <c r="Y29" s="13"/>
      <c r="Z29" s="17"/>
      <c r="AA29" s="18"/>
      <c r="AB29" s="13"/>
      <c r="AC29" s="13"/>
      <c r="AD29" s="13"/>
      <c r="AE29" s="15"/>
      <c r="AF29" s="13"/>
      <c r="AG29" s="13"/>
      <c r="AH29" s="13"/>
      <c r="AI29" s="13"/>
      <c r="AJ29" s="13"/>
      <c r="AK29" s="13"/>
      <c r="AL29" s="13"/>
    </row>
    <row r="30" spans="1:38">
      <c r="A30" s="13"/>
      <c r="B30" s="13"/>
      <c r="C30" s="13"/>
      <c r="D30" s="13"/>
      <c r="E30" s="13"/>
      <c r="F30" s="14"/>
      <c r="G30" s="17"/>
      <c r="H30" s="16"/>
      <c r="I30" s="13"/>
      <c r="J30" s="17"/>
      <c r="K30" s="13"/>
      <c r="L30" s="14"/>
      <c r="M30" s="18"/>
      <c r="N30" s="17"/>
      <c r="O30" s="16"/>
      <c r="P30" s="13"/>
      <c r="Q30" s="17"/>
      <c r="R30" s="13"/>
      <c r="S30" s="13"/>
      <c r="T30" s="17"/>
      <c r="U30" s="16"/>
      <c r="V30" s="13"/>
      <c r="W30" s="17"/>
      <c r="X30" s="13"/>
      <c r="Y30" s="13"/>
      <c r="Z30" s="17"/>
      <c r="AA30" s="18"/>
      <c r="AB30" s="13"/>
      <c r="AC30" s="13"/>
      <c r="AD30" s="13"/>
      <c r="AE30" s="15"/>
      <c r="AF30" s="13"/>
      <c r="AG30" s="13"/>
      <c r="AH30" s="13"/>
      <c r="AI30" s="13"/>
      <c r="AJ30" s="13"/>
      <c r="AK30" s="13"/>
      <c r="AL30" s="13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1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2025-04-02T01:39:17Z</cp:lastPrinted>
  <dcterms:created xsi:type="dcterms:W3CDTF">2010-08-02T05:46:42Z</dcterms:created>
  <dcterms:modified xsi:type="dcterms:W3CDTF">2025-09-01T08:00:00Z</dcterms:modified>
</cp:coreProperties>
</file>