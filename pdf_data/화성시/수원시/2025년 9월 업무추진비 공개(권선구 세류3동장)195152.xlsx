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712E85B-0DD2-495B-A571-628B198D9FCA}" xr6:coauthVersionLast="36" xr6:coauthVersionMax="36" xr10:uidLastSave="{00000000-0000-0000-0000-000000000000}"/>
  <bookViews>
    <workbookView xWindow="0" yWindow="0" windowWidth="28020" windowHeight="1047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사용내역!$A$15:$T$23</definedName>
    <definedName name="_xlnm.Print_Area" localSheetId="0">사용내역!$A$1:$K$14</definedName>
  </definedNames>
  <calcPr calcId="191029"/>
</workbook>
</file>

<file path=xl/calcChain.xml><?xml version="1.0" encoding="utf-8"?>
<calcChain xmlns="http://schemas.openxmlformats.org/spreadsheetml/2006/main">
  <c r="G11" i="7" l="1"/>
  <c r="E11" i="7"/>
  <c r="C11" i="7" l="1"/>
  <c r="M11" i="7" l="1"/>
  <c r="N11" i="7" l="1"/>
</calcChain>
</file>

<file path=xl/sharedStrings.xml><?xml version="1.0" encoding="utf-8"?>
<sst xmlns="http://schemas.openxmlformats.org/spreadsheetml/2006/main" count="212" uniqueCount="119">
  <si>
    <t>□ 세부집행내역</t>
  </si>
  <si>
    <t>기타</t>
  </si>
  <si>
    <t>(단위:원)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</si>
  <si>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</si>
  <si>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</si>
  <si>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</si>
  <si>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</si>
  <si>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</si>
  <si>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</si>
  <si>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</si>
  <si>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</si>
  <si>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금액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</si>
  <si>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</si>
  <si>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</si>
  <si>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</si>
  <si>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</si>
  <si>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</si>
  <si>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</si>
  <si>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</si>
  <si>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</si>
  <si>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</si>
  <si>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</si>
  <si>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</si>
  <si>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</si>
  <si>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</si>
  <si>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</si>
  <si>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</si>
  <si>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</si>
  <si>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</si>
  <si>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</si>
  <si>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</si>
  <si>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</si>
  <si>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</si>
  <si>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</si>
  <si>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</si>
  <si>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</si>
  <si>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</si>
  <si>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</si>
  <si>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</si>
  <si>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</si>
  <si>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</si>
  <si>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</si>
  <si>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</si>
  <si>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</si>
  <si>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</si>
  <si>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</si>
  <si>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</si>
  <si>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</si>
  <si>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</si>
  <si>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</si>
  <si>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</si>
  <si>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</si>
  <si>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</si>
  <si>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</si>
  <si>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</si>
  <si>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</si>
  <si>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"청렴 도시 수원"</t>
    <phoneticPr fontId="2" type="noConversion"/>
  </si>
  <si>
    <t>모지혜</t>
  </si>
  <si>
    <t>부서운영업무추진비</t>
  </si>
  <si>
    <t>권선구행정지원과</t>
  </si>
  <si>
    <t>석은숙</t>
  </si>
  <si>
    <t>유원종</t>
  </si>
  <si>
    <t>직원격려 급식제공 건의</t>
  </si>
  <si>
    <t>짬뽕지존</t>
  </si>
  <si>
    <t>00000235</t>
  </si>
  <si>
    <t>00000240</t>
  </si>
  <si>
    <t>백세삼계탕</t>
  </si>
  <si>
    <t>00000255</t>
  </si>
  <si>
    <t>00000254</t>
  </si>
  <si>
    <t>올리앤 호매실점</t>
  </si>
  <si>
    <t>00000284</t>
  </si>
  <si>
    <t>00000286</t>
  </si>
  <si>
    <t>(단위:건/원)</t>
    <phoneticPr fontId="2" type="noConversion"/>
  </si>
  <si>
    <t>회의 및 간담회 등</t>
    <phoneticPr fontId="1" type="noConversion"/>
  </si>
  <si>
    <t>사용자</t>
    <phoneticPr fontId="1" type="noConversion"/>
  </si>
  <si>
    <t>장소</t>
    <phoneticPr fontId="1" type="noConversion"/>
  </si>
  <si>
    <t>일시</t>
    <phoneticPr fontId="1" type="noConversion"/>
  </si>
  <si>
    <t>집행목적(내역)</t>
    <phoneticPr fontId="1" type="noConversion"/>
  </si>
  <si>
    <t>비목</t>
    <phoneticPr fontId="1" type="noConversion"/>
  </si>
  <si>
    <t>신용카드</t>
    <phoneticPr fontId="1" type="noConversion"/>
  </si>
  <si>
    <t>대상
인원수</t>
    <phoneticPr fontId="1" type="noConversion"/>
  </si>
  <si>
    <t>결제
방법</t>
    <phoneticPr fontId="1" type="noConversion"/>
  </si>
  <si>
    <t>기관운영</t>
    <phoneticPr fontId="2" type="noConversion"/>
  </si>
  <si>
    <t>공업5급 이진영</t>
    <phoneticPr fontId="2" type="noConversion"/>
  </si>
  <si>
    <t>단체원 격려 식사비 지급 건의</t>
    <phoneticPr fontId="2" type="noConversion"/>
  </si>
  <si>
    <r>
      <t xml:space="preserve">   본 공개 내역은 더 깨끗하고 투명한 행정으로 "청렴 도시 수원"을 만들어 가고자  2025. 8월중
   권선구 세류3동장이 사용한 업무추진비 집행내역을 공개하고자 합니다.
  </t>
    </r>
    <r>
      <rPr>
        <b/>
        <sz val="12"/>
        <color rgb="FF000000"/>
        <rFont val="맑은 고딕"/>
        <family val="3"/>
        <charset val="129"/>
      </rPr>
      <t>○ 사용자 : 세류3동장</t>
    </r>
    <phoneticPr fontId="2" type="noConversion"/>
  </si>
  <si>
    <t>행정9급 윤지수</t>
    <phoneticPr fontId="2" type="noConversion"/>
  </si>
  <si>
    <t>행정7급 권희태</t>
    <phoneticPr fontId="2" type="noConversion"/>
  </si>
  <si>
    <t>2025년 9월 업무추진비 공개(권선구 세류3동장)</t>
    <phoneticPr fontId="2" type="noConversion"/>
  </si>
  <si>
    <t>□ 9월 집행내역 총괄</t>
    <phoneticPr fontId="2" type="noConversion"/>
  </si>
  <si>
    <t>2025-09-01 12:13:40</t>
  </si>
  <si>
    <t>춘향골밥상</t>
    <phoneticPr fontId="2" type="noConversion"/>
  </si>
  <si>
    <t>2025-09-02 16:57:43</t>
  </si>
  <si>
    <t>2025-09-03 11:07:32</t>
  </si>
  <si>
    <t>2025-09-03 20:39:50</t>
  </si>
  <si>
    <t>앤드(AND)</t>
    <phoneticPr fontId="2" type="noConversion"/>
  </si>
  <si>
    <t>네이버파이낸셜㈜</t>
    <phoneticPr fontId="2" type="noConversion"/>
  </si>
  <si>
    <t>갤럭시아_ARS</t>
    <phoneticPr fontId="2" type="noConversion"/>
  </si>
  <si>
    <t>단체원 간담회 개최에 따른 음료 제공 건의</t>
    <phoneticPr fontId="2" type="noConversion"/>
  </si>
  <si>
    <t>내방객용 음료 구입 건의</t>
    <phoneticPr fontId="2" type="noConversion"/>
  </si>
  <si>
    <t>직원 격려 식사비 지급 건의</t>
    <phoneticPr fontId="2" type="noConversion"/>
  </si>
  <si>
    <t>2025-09-17 11:23:27</t>
  </si>
  <si>
    <t>길손식당</t>
    <phoneticPr fontId="2" type="noConversion"/>
  </si>
  <si>
    <t>단체원 간담회 식사비 지급 건의</t>
    <phoneticPr fontId="2" type="noConversion"/>
  </si>
  <si>
    <t>2025-09-22 13:21:46</t>
  </si>
  <si>
    <t>행정7급 문지욱</t>
    <phoneticPr fontId="2" type="noConversion"/>
  </si>
  <si>
    <t>2025-09-26 15:40:22</t>
  </si>
  <si>
    <t>2025-09-26 15:58:47</t>
  </si>
  <si>
    <t>2025-09-26 16:04:54</t>
  </si>
  <si>
    <t>피자마루</t>
  </si>
  <si>
    <t>하림멕시칸
양념통닭</t>
    <phoneticPr fontId="2" type="noConversion"/>
  </si>
  <si>
    <t>신전떡볶이 
세류점</t>
    <phoneticPr fontId="2" type="noConversion"/>
  </si>
  <si>
    <t>직원 생일 축하 등 격려 간식 구입</t>
  </si>
  <si>
    <t>2025-09-26 16:32:14</t>
  </si>
  <si>
    <t>신세계유통</t>
    <phoneticPr fontId="2" type="noConversion"/>
  </si>
  <si>
    <t>새마을문고 독서문학기행 참가 단체원 격려 음료 제공</t>
    <phoneticPr fontId="2" type="noConversion"/>
  </si>
  <si>
    <t>행정9급 임지안</t>
    <phoneticPr fontId="2" type="noConversion"/>
  </si>
  <si>
    <t>부서운영</t>
    <phoneticPr fontId="2" type="noConversion"/>
  </si>
  <si>
    <t>정원가산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</si>
</sst>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2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9"/>
      <color rgb="FF333333"/>
      <name val="돋움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33333"/>
      </left>
      <right style="thin">
        <color rgb="FF333333"/>
      </right>
      <top/>
      <bottom style="medium">
        <color indexed="64"/>
      </bottom>
      <diagonal/>
    </border>
    <border>
      <left style="thin">
        <color rgb="FF333333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21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15" fillId="4" borderId="11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left" vertical="center"/>
    </xf>
    <xf numFmtId="0" fontId="17" fillId="0" borderId="11" xfId="0" applyFont="1" applyFill="1" applyBorder="1" applyAlignment="1">
      <alignment horizontal="right" vertical="center"/>
    </xf>
    <xf numFmtId="0" fontId="17" fillId="0" borderId="11" xfId="0" applyFont="1" applyFill="1" applyBorder="1" applyAlignment="1">
      <alignment horizontal="center" vertical="center"/>
    </xf>
    <xf numFmtId="3" fontId="17" fillId="0" borderId="11" xfId="0" applyNumberFormat="1" applyFont="1" applyFill="1" applyBorder="1" applyAlignment="1">
      <alignment horizontal="right" vertical="center"/>
    </xf>
    <xf numFmtId="14" fontId="17" fillId="0" borderId="11" xfId="0" applyNumberFormat="1" applyFont="1" applyFill="1" applyBorder="1" applyAlignment="1">
      <alignment horizontal="center" vertical="center"/>
    </xf>
    <xf numFmtId="0" fontId="17" fillId="0" borderId="11" xfId="0" quotePrefix="1" applyFont="1" applyFill="1" applyBorder="1" applyAlignment="1">
      <alignment horizontal="center" vertical="center"/>
    </xf>
    <xf numFmtId="3" fontId="0" fillId="0" borderId="0" xfId="0" applyNumberFormat="1" applyFill="1" applyAlignment="1">
      <alignment horizontal="center" vertical="center" shrinkToFit="1"/>
    </xf>
    <xf numFmtId="176" fontId="0" fillId="0" borderId="0" xfId="0" applyNumberFormat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3" fontId="3" fillId="0" borderId="19" xfId="0" applyNumberFormat="1" applyFont="1" applyBorder="1" applyAlignment="1">
      <alignment vertical="center"/>
    </xf>
    <xf numFmtId="41" fontId="8" fillId="0" borderId="20" xfId="0" quotePrefix="1" applyNumberFormat="1" applyFont="1" applyBorder="1" applyAlignment="1">
      <alignment vertical="center" shrinkToFit="1"/>
    </xf>
    <xf numFmtId="41" fontId="8" fillId="0" borderId="20" xfId="0" applyNumberFormat="1" applyFont="1" applyBorder="1" applyAlignment="1">
      <alignment horizontal="center" vertical="center" shrinkToFit="1"/>
    </xf>
    <xf numFmtId="41" fontId="8" fillId="0" borderId="20" xfId="0" quotePrefix="1" applyNumberFormat="1" applyFont="1" applyFill="1" applyBorder="1" applyAlignment="1">
      <alignment vertical="center" shrinkToFit="1"/>
    </xf>
    <xf numFmtId="41" fontId="8" fillId="0" borderId="20" xfId="0" quotePrefix="1" applyNumberFormat="1" applyFont="1" applyFill="1" applyBorder="1" applyAlignment="1">
      <alignment horizontal="center" vertical="center" shrinkToFit="1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8" fillId="0" borderId="20" xfId="0" quotePrefix="1" applyNumberFormat="1" applyFont="1" applyBorder="1" applyAlignment="1">
      <alignment vertical="center" shrinkToFit="1"/>
    </xf>
    <xf numFmtId="0" fontId="8" fillId="0" borderId="21" xfId="0" applyNumberFormat="1" applyFont="1" applyBorder="1" applyAlignment="1">
      <alignment horizontal="right" vertical="center" shrinkToFit="1"/>
    </xf>
    <xf numFmtId="0" fontId="0" fillId="2" borderId="24" xfId="0" applyFont="1" applyFill="1" applyBorder="1" applyAlignment="1">
      <alignment horizontal="center" vertical="center" shrinkToFit="1"/>
    </xf>
    <xf numFmtId="0" fontId="0" fillId="2" borderId="24" xfId="0" applyFont="1" applyFill="1" applyBorder="1" applyAlignment="1">
      <alignment horizontal="center" vertical="center" wrapText="1" shrinkToFit="1"/>
    </xf>
    <xf numFmtId="0" fontId="0" fillId="2" borderId="26" xfId="0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shrinkToFit="1"/>
    </xf>
    <xf numFmtId="0" fontId="0" fillId="2" borderId="25" xfId="0" applyFont="1" applyFill="1" applyBorder="1" applyAlignment="1">
      <alignment horizontal="center" vertical="center" shrinkToFit="1"/>
    </xf>
    <xf numFmtId="49" fontId="23" fillId="0" borderId="27" xfId="0" applyNumberFormat="1" applyFont="1" applyFill="1" applyBorder="1" applyAlignment="1">
      <alignment horizontal="center" vertical="center" wrapText="1"/>
    </xf>
    <xf numFmtId="14" fontId="24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41" fontId="3" fillId="0" borderId="19" xfId="0" applyNumberFormat="1" applyFont="1" applyBorder="1" applyAlignment="1">
      <alignment vertical="center"/>
    </xf>
    <xf numFmtId="3" fontId="3" fillId="0" borderId="19" xfId="0" applyNumberFormat="1" applyFont="1" applyBorder="1" applyAlignment="1">
      <alignment horizontal="right" vertical="center"/>
    </xf>
    <xf numFmtId="0" fontId="25" fillId="0" borderId="3" xfId="0" applyFont="1" applyFill="1" applyBorder="1" applyAlignment="1">
      <alignment horizontal="center" vertical="center" shrinkToFit="1"/>
    </xf>
    <xf numFmtId="0" fontId="25" fillId="0" borderId="4" xfId="0" applyFont="1" applyFill="1" applyBorder="1" applyAlignment="1">
      <alignment horizontal="center" vertical="center" shrinkToFit="1"/>
    </xf>
    <xf numFmtId="0" fontId="25" fillId="0" borderId="5" xfId="0" applyFont="1" applyFill="1" applyBorder="1" applyAlignment="1">
      <alignment horizontal="center" vertical="center" shrinkToFit="1"/>
    </xf>
    <xf numFmtId="3" fontId="26" fillId="0" borderId="3" xfId="1" applyNumberFormat="1" applyFont="1" applyFill="1" applyBorder="1" applyAlignment="1">
      <alignment horizontal="center" vertical="center"/>
    </xf>
    <xf numFmtId="3" fontId="26" fillId="0" borderId="5" xfId="1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 shrinkToFit="1"/>
    </xf>
    <xf numFmtId="0" fontId="22" fillId="2" borderId="5" xfId="0" applyFont="1" applyFill="1" applyBorder="1" applyAlignment="1">
      <alignment horizontal="center" vertical="center" shrinkToFit="1"/>
    </xf>
    <xf numFmtId="41" fontId="8" fillId="0" borderId="30" xfId="0" applyNumberFormat="1" applyFont="1" applyBorder="1" applyAlignment="1">
      <alignment horizontal="center" vertical="center" shrinkToFit="1"/>
    </xf>
    <xf numFmtId="41" fontId="8" fillId="0" borderId="22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 wrapText="1" shrinkToFit="1"/>
    </xf>
    <xf numFmtId="0" fontId="10" fillId="6" borderId="0" xfId="0" applyFont="1" applyFill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shrinkToFit="1"/>
    </xf>
    <xf numFmtId="0" fontId="22" fillId="2" borderId="15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Border="1" applyAlignment="1">
      <alignment horizontal="right" vertical="center" wrapText="1"/>
    </xf>
    <xf numFmtId="0" fontId="0" fillId="2" borderId="13" xfId="0" applyFont="1" applyFill="1" applyBorder="1" applyAlignment="1">
      <alignment horizontal="center" vertical="center" shrinkToFit="1"/>
    </xf>
    <xf numFmtId="0" fontId="0" fillId="2" borderId="15" xfId="0" applyFont="1" applyFill="1" applyBorder="1" applyAlignment="1">
      <alignment horizontal="center" vertical="center" shrinkToFit="1"/>
    </xf>
    <xf numFmtId="0" fontId="0" fillId="2" borderId="14" xfId="0" applyFont="1" applyFill="1" applyBorder="1" applyAlignment="1">
      <alignment horizontal="center" vertical="center" shrinkToFit="1"/>
    </xf>
    <xf numFmtId="3" fontId="13" fillId="0" borderId="0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2" xfId="2" xr:uid="{00000000-0005-0000-0000-00002F000000}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"/>
  <sheetViews>
    <sheetView tabSelected="1" zoomScaleNormal="100" zoomScaleSheetLayoutView="100" workbookViewId="0">
      <selection sqref="A1:K1"/>
    </sheetView>
  </sheetViews>
  <sheetFormatPr defaultColWidth="10.625" defaultRowHeight="16.5"/>
  <cols>
    <col min="1" max="1" width="7.125" style="1" customWidth="1"/>
    <col min="2" max="2" width="19.625" style="1" customWidth="1"/>
    <col min="3" max="3" width="12.375" customWidth="1"/>
    <col min="4" max="4" width="33.375" customWidth="1"/>
    <col min="5" max="5" width="10.625" bestFit="1" customWidth="1"/>
    <col min="6" max="6" width="10.5" customWidth="1"/>
    <col min="7" max="7" width="9.625" customWidth="1"/>
    <col min="8" max="8" width="10" customWidth="1"/>
    <col min="9" max="9" width="11" style="6" customWidth="1"/>
    <col min="10" max="10" width="10.75" style="6" customWidth="1"/>
    <col min="11" max="11" width="10.75" customWidth="1"/>
    <col min="12" max="20" width="10.625" hidden="1" customWidth="1"/>
    <col min="21" max="21" width="0.625" customWidth="1"/>
  </cols>
  <sheetData>
    <row r="1" spans="1:15" ht="33.75" customHeight="1">
      <c r="A1" s="55" t="s">
        <v>88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5" ht="21.75" customHeight="1">
      <c r="A2" s="7"/>
      <c r="B2" s="7"/>
      <c r="C2" s="20"/>
      <c r="D2" s="20"/>
      <c r="E2" s="20"/>
      <c r="F2" s="20"/>
      <c r="G2" s="20"/>
      <c r="H2" s="20"/>
      <c r="I2"/>
      <c r="J2"/>
    </row>
    <row r="3" spans="1:15" ht="69.75" customHeight="1">
      <c r="A3" s="56" t="s">
        <v>85</v>
      </c>
      <c r="B3" s="56"/>
      <c r="C3" s="56"/>
      <c r="D3" s="56"/>
      <c r="E3" s="56"/>
      <c r="F3" s="56"/>
      <c r="G3" s="56"/>
      <c r="H3" s="56"/>
      <c r="I3" s="56"/>
      <c r="J3" s="56"/>
      <c r="K3" s="56"/>
      <c r="M3" t="s">
        <v>56</v>
      </c>
    </row>
    <row r="4" spans="1:15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5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5" ht="5.25" customHeight="1">
      <c r="A6" s="4"/>
      <c r="B6" s="4"/>
      <c r="C6" s="4"/>
      <c r="D6" s="4"/>
      <c r="E6" s="4"/>
      <c r="I6" s="4"/>
      <c r="J6" s="4"/>
      <c r="K6" s="4"/>
    </row>
    <row r="7" spans="1:15" ht="23.1" customHeight="1">
      <c r="A7" s="57" t="s">
        <v>89</v>
      </c>
      <c r="B7" s="57"/>
      <c r="C7" s="57"/>
      <c r="D7" s="57"/>
      <c r="E7" s="57"/>
      <c r="F7" s="57"/>
      <c r="G7" s="57"/>
      <c r="H7" s="57"/>
      <c r="I7" s="57"/>
      <c r="J7" s="57"/>
      <c r="K7" s="57"/>
    </row>
    <row r="8" spans="1:15" ht="21" customHeight="1" thickBot="1">
      <c r="A8" s="58" t="s">
        <v>72</v>
      </c>
      <c r="B8" s="58"/>
      <c r="C8" s="58"/>
      <c r="D8" s="58"/>
      <c r="E8" s="58"/>
      <c r="F8" s="58"/>
      <c r="G8" s="58"/>
      <c r="H8" s="58"/>
      <c r="I8" s="58"/>
      <c r="J8" s="58"/>
      <c r="K8" s="58"/>
    </row>
    <row r="9" spans="1:15" ht="24.75" customHeight="1">
      <c r="A9" s="61" t="s">
        <v>3</v>
      </c>
      <c r="B9" s="62"/>
      <c r="C9" s="63"/>
      <c r="D9" s="64" t="s">
        <v>73</v>
      </c>
      <c r="E9" s="65"/>
      <c r="F9" s="59" t="s">
        <v>6</v>
      </c>
      <c r="G9" s="60"/>
      <c r="H9" s="66" t="s">
        <v>9</v>
      </c>
      <c r="I9" s="66"/>
      <c r="J9" s="66" t="s">
        <v>1</v>
      </c>
      <c r="K9" s="67"/>
    </row>
    <row r="10" spans="1:15" ht="24.75" customHeight="1">
      <c r="A10" s="51" t="s">
        <v>4</v>
      </c>
      <c r="B10" s="52"/>
      <c r="C10" s="36" t="s">
        <v>5</v>
      </c>
      <c r="D10" s="37" t="s">
        <v>10</v>
      </c>
      <c r="E10" s="37" t="s">
        <v>11</v>
      </c>
      <c r="F10" s="36" t="s">
        <v>7</v>
      </c>
      <c r="G10" s="36" t="s">
        <v>8</v>
      </c>
      <c r="H10" s="36" t="s">
        <v>4</v>
      </c>
      <c r="I10" s="36" t="s">
        <v>5</v>
      </c>
      <c r="J10" s="36" t="s">
        <v>4</v>
      </c>
      <c r="K10" s="38" t="s">
        <v>5</v>
      </c>
    </row>
    <row r="11" spans="1:15" s="9" customFormat="1" ht="32.25" customHeight="1" thickBot="1">
      <c r="A11" s="53">
        <v>10</v>
      </c>
      <c r="B11" s="54"/>
      <c r="C11" s="21">
        <f>SUM(H16:I25)</f>
        <v>926100</v>
      </c>
      <c r="D11" s="24">
        <v>6</v>
      </c>
      <c r="E11" s="45">
        <f>SUMIF(K16:K29,"기관운영",H16:I29)</f>
        <v>206500</v>
      </c>
      <c r="F11" s="25">
        <v>4</v>
      </c>
      <c r="G11" s="44">
        <f>SUMIF(K16:K29,"부서운영",H16:I29)+ SUMIF(K16:K29,"정원가산",H16:I29)</f>
        <v>719600</v>
      </c>
      <c r="H11" s="22">
        <v>0</v>
      </c>
      <c r="I11" s="29">
        <v>0</v>
      </c>
      <c r="J11" s="23">
        <v>0</v>
      </c>
      <c r="K11" s="30">
        <v>0</v>
      </c>
      <c r="M11" s="18">
        <f>ROUND(data카피!U3/1000,1)</f>
        <v>337.4</v>
      </c>
      <c r="N11" s="9" t="str">
        <f>IF(C11=M11,"이상없음","문제있음")</f>
        <v>문제있음</v>
      </c>
      <c r="O11"/>
    </row>
    <row r="12" spans="1:15">
      <c r="A12" s="9"/>
      <c r="B12" s="9"/>
      <c r="C12" s="4"/>
      <c r="D12" s="4"/>
      <c r="E12" s="4"/>
      <c r="F12" s="4"/>
      <c r="G12" s="4"/>
      <c r="H12" s="4"/>
      <c r="I12" s="4"/>
      <c r="J12" s="4"/>
      <c r="K12" s="4"/>
    </row>
    <row r="13" spans="1:15" s="1" customFormat="1" ht="23.1" customHeight="1">
      <c r="A13" s="68" t="s">
        <v>0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15" s="1" customFormat="1" ht="14.25" customHeight="1" thickBot="1">
      <c r="A14" s="8"/>
      <c r="B14" s="8"/>
      <c r="C14" s="2"/>
      <c r="D14" s="2"/>
      <c r="E14" s="2"/>
      <c r="F14" s="2"/>
      <c r="G14" s="2"/>
      <c r="H14" s="2"/>
      <c r="I14" s="69" t="s">
        <v>2</v>
      </c>
      <c r="J14" s="69"/>
      <c r="K14" s="69"/>
    </row>
    <row r="15" spans="1:15" ht="33.75" customHeight="1">
      <c r="A15" s="39" t="s">
        <v>74</v>
      </c>
      <c r="B15" s="40" t="s">
        <v>76</v>
      </c>
      <c r="C15" s="31" t="s">
        <v>75</v>
      </c>
      <c r="D15" s="70" t="s">
        <v>77</v>
      </c>
      <c r="E15" s="71"/>
      <c r="F15" s="72"/>
      <c r="G15" s="32" t="s">
        <v>80</v>
      </c>
      <c r="H15" s="70" t="s">
        <v>8</v>
      </c>
      <c r="I15" s="72"/>
      <c r="J15" s="32" t="s">
        <v>81</v>
      </c>
      <c r="K15" s="33" t="s">
        <v>78</v>
      </c>
    </row>
    <row r="16" spans="1:15" ht="33.75" customHeight="1">
      <c r="A16" s="41" t="s">
        <v>87</v>
      </c>
      <c r="B16" s="79" t="s">
        <v>90</v>
      </c>
      <c r="C16" s="42" t="s">
        <v>91</v>
      </c>
      <c r="D16" s="46" t="s">
        <v>84</v>
      </c>
      <c r="E16" s="47"/>
      <c r="F16" s="48"/>
      <c r="G16" s="43">
        <v>6</v>
      </c>
      <c r="H16" s="49">
        <v>48000</v>
      </c>
      <c r="I16" s="50"/>
      <c r="J16" s="34" t="s">
        <v>79</v>
      </c>
      <c r="K16" s="35" t="s">
        <v>82</v>
      </c>
    </row>
    <row r="17" spans="1:20" ht="33.75" customHeight="1">
      <c r="A17" s="41" t="s">
        <v>86</v>
      </c>
      <c r="B17" s="79" t="s">
        <v>92</v>
      </c>
      <c r="C17" s="42" t="s">
        <v>95</v>
      </c>
      <c r="D17" s="46" t="s">
        <v>98</v>
      </c>
      <c r="E17" s="47"/>
      <c r="F17" s="48"/>
      <c r="G17" s="43">
        <v>5</v>
      </c>
      <c r="H17" s="49">
        <v>20500</v>
      </c>
      <c r="I17" s="50"/>
      <c r="J17" s="34" t="s">
        <v>79</v>
      </c>
      <c r="K17" s="35" t="s">
        <v>82</v>
      </c>
    </row>
    <row r="18" spans="1:20" ht="33.75" customHeight="1">
      <c r="A18" s="41" t="s">
        <v>86</v>
      </c>
      <c r="B18" s="79" t="s">
        <v>93</v>
      </c>
      <c r="C18" s="42" t="s">
        <v>96</v>
      </c>
      <c r="D18" s="46" t="s">
        <v>99</v>
      </c>
      <c r="E18" s="47"/>
      <c r="F18" s="48"/>
      <c r="G18" s="43">
        <v>40</v>
      </c>
      <c r="H18" s="49">
        <v>30000</v>
      </c>
      <c r="I18" s="50"/>
      <c r="J18" s="34" t="s">
        <v>79</v>
      </c>
      <c r="K18" s="35" t="s">
        <v>82</v>
      </c>
    </row>
    <row r="19" spans="1:20" ht="33.75" customHeight="1">
      <c r="A19" s="41" t="s">
        <v>87</v>
      </c>
      <c r="B19" s="79" t="s">
        <v>94</v>
      </c>
      <c r="C19" s="42" t="s">
        <v>97</v>
      </c>
      <c r="D19" s="46" t="s">
        <v>100</v>
      </c>
      <c r="E19" s="47"/>
      <c r="F19" s="48"/>
      <c r="G19" s="43">
        <v>15</v>
      </c>
      <c r="H19" s="49">
        <v>521000</v>
      </c>
      <c r="I19" s="50"/>
      <c r="J19" s="34" t="s">
        <v>79</v>
      </c>
      <c r="K19" s="35" t="s">
        <v>117</v>
      </c>
    </row>
    <row r="20" spans="1:20" ht="33.75" customHeight="1">
      <c r="A20" s="41" t="s">
        <v>83</v>
      </c>
      <c r="B20" s="79" t="s">
        <v>101</v>
      </c>
      <c r="C20" s="42" t="s">
        <v>102</v>
      </c>
      <c r="D20" s="46" t="s">
        <v>103</v>
      </c>
      <c r="E20" s="47"/>
      <c r="F20" s="48"/>
      <c r="G20" s="43">
        <v>3</v>
      </c>
      <c r="H20" s="49">
        <v>24000</v>
      </c>
      <c r="I20" s="50"/>
      <c r="J20" s="34" t="s">
        <v>79</v>
      </c>
      <c r="K20" s="35" t="s">
        <v>82</v>
      </c>
    </row>
    <row r="21" spans="1:20" ht="33.75" customHeight="1">
      <c r="A21" s="41" t="s">
        <v>105</v>
      </c>
      <c r="B21" s="79" t="s">
        <v>104</v>
      </c>
      <c r="C21" s="42" t="s">
        <v>102</v>
      </c>
      <c r="D21" s="46" t="s">
        <v>84</v>
      </c>
      <c r="E21" s="47"/>
      <c r="F21" s="48"/>
      <c r="G21" s="43">
        <v>4</v>
      </c>
      <c r="H21" s="49">
        <v>34000</v>
      </c>
      <c r="I21" s="50"/>
      <c r="J21" s="34" t="s">
        <v>79</v>
      </c>
      <c r="K21" s="35" t="s">
        <v>82</v>
      </c>
    </row>
    <row r="22" spans="1:20" ht="33.75" customHeight="1">
      <c r="A22" s="41" t="s">
        <v>86</v>
      </c>
      <c r="B22" s="79" t="s">
        <v>106</v>
      </c>
      <c r="C22" s="80" t="s">
        <v>111</v>
      </c>
      <c r="D22" s="46" t="s">
        <v>112</v>
      </c>
      <c r="E22" s="47"/>
      <c r="F22" s="48"/>
      <c r="G22" s="43">
        <v>15</v>
      </c>
      <c r="H22" s="49">
        <v>26500</v>
      </c>
      <c r="I22" s="50"/>
      <c r="J22" s="34" t="s">
        <v>79</v>
      </c>
      <c r="K22" s="35" t="s">
        <v>118</v>
      </c>
    </row>
    <row r="23" spans="1:20" ht="33.75" customHeight="1">
      <c r="A23" s="41" t="s">
        <v>86</v>
      </c>
      <c r="B23" s="79" t="s">
        <v>107</v>
      </c>
      <c r="C23" s="79" t="s">
        <v>109</v>
      </c>
      <c r="D23" s="46" t="s">
        <v>112</v>
      </c>
      <c r="E23" s="47"/>
      <c r="F23" s="48"/>
      <c r="G23" s="43">
        <v>15</v>
      </c>
      <c r="H23" s="49">
        <v>62100</v>
      </c>
      <c r="I23" s="50"/>
      <c r="J23" s="34" t="s">
        <v>79</v>
      </c>
      <c r="K23" s="35" t="s">
        <v>118</v>
      </c>
    </row>
    <row r="24" spans="1:20" ht="33.75" customHeight="1">
      <c r="A24" s="41" t="s">
        <v>86</v>
      </c>
      <c r="B24" s="79" t="s">
        <v>108</v>
      </c>
      <c r="C24" s="80" t="s">
        <v>110</v>
      </c>
      <c r="D24" s="46" t="s">
        <v>112</v>
      </c>
      <c r="E24" s="47"/>
      <c r="F24" s="48"/>
      <c r="G24" s="43">
        <v>15</v>
      </c>
      <c r="H24" s="49">
        <v>110000</v>
      </c>
      <c r="I24" s="50"/>
      <c r="J24" s="34" t="s">
        <v>79</v>
      </c>
      <c r="K24" s="35" t="s">
        <v>118</v>
      </c>
      <c r="O24" s="17"/>
      <c r="Q24" s="19"/>
      <c r="R24" s="26"/>
      <c r="S24" s="27"/>
      <c r="T24" s="28"/>
    </row>
    <row r="25" spans="1:20" ht="33.75" customHeight="1">
      <c r="A25" s="41" t="s">
        <v>116</v>
      </c>
      <c r="B25" s="79" t="s">
        <v>113</v>
      </c>
      <c r="C25" s="42" t="s">
        <v>114</v>
      </c>
      <c r="D25" s="46" t="s">
        <v>115</v>
      </c>
      <c r="E25" s="47"/>
      <c r="F25" s="48"/>
      <c r="G25" s="43">
        <v>7</v>
      </c>
      <c r="H25" s="49">
        <v>50000</v>
      </c>
      <c r="I25" s="50"/>
      <c r="J25" s="34" t="s">
        <v>79</v>
      </c>
      <c r="K25" s="35" t="s">
        <v>82</v>
      </c>
      <c r="O25" s="17"/>
      <c r="Q25" s="19"/>
      <c r="R25" s="26"/>
      <c r="S25" s="27"/>
      <c r="T25" s="28"/>
    </row>
    <row r="26" spans="1:20" ht="33.75" customHeight="1">
      <c r="G26" s="73"/>
      <c r="H26" s="73"/>
      <c r="O26" s="17"/>
      <c r="Q26" s="19"/>
      <c r="R26" s="26"/>
      <c r="S26" s="27"/>
      <c r="T26" s="28"/>
    </row>
    <row r="27" spans="1:20" ht="33.950000000000003" customHeight="1">
      <c r="G27" s="73"/>
      <c r="H27" s="73"/>
    </row>
    <row r="28" spans="1:20" ht="33.950000000000003" customHeight="1">
      <c r="G28" s="73"/>
      <c r="H28" s="73"/>
    </row>
    <row r="29" spans="1:20" ht="33.950000000000003" customHeight="1">
      <c r="G29" s="73"/>
      <c r="H29" s="73"/>
    </row>
    <row r="30" spans="1:20" ht="33.950000000000003" customHeight="1">
      <c r="G30" s="73"/>
      <c r="H30" s="73"/>
    </row>
    <row r="31" spans="1:20">
      <c r="G31" s="73"/>
      <c r="H31" s="73"/>
    </row>
  </sheetData>
  <autoFilter ref="A15:T23" xr:uid="{7668C767-D20F-4075-963C-D45CF7C83BB9}">
    <filterColumn colId="3" showButton="0"/>
    <filterColumn colId="4" showButton="0"/>
    <filterColumn colId="7" showButton="0"/>
  </autoFilter>
  <mergeCells count="41">
    <mergeCell ref="D24:F24"/>
    <mergeCell ref="H24:I24"/>
    <mergeCell ref="D17:F17"/>
    <mergeCell ref="H17:I17"/>
    <mergeCell ref="D18:F18"/>
    <mergeCell ref="H18:I18"/>
    <mergeCell ref="D19:F19"/>
    <mergeCell ref="H19:I19"/>
    <mergeCell ref="H23:I23"/>
    <mergeCell ref="D23:F23"/>
    <mergeCell ref="D21:F21"/>
    <mergeCell ref="H21:I21"/>
    <mergeCell ref="D22:F22"/>
    <mergeCell ref="H22:I22"/>
    <mergeCell ref="G29:H29"/>
    <mergeCell ref="G30:H30"/>
    <mergeCell ref="G31:H31"/>
    <mergeCell ref="G26:H26"/>
    <mergeCell ref="G27:H27"/>
    <mergeCell ref="G28:H28"/>
    <mergeCell ref="H15:I15"/>
    <mergeCell ref="D16:F16"/>
    <mergeCell ref="H16:I16"/>
    <mergeCell ref="D20:F20"/>
    <mergeCell ref="H20:I20"/>
    <mergeCell ref="D25:F25"/>
    <mergeCell ref="H25:I25"/>
    <mergeCell ref="A10:B10"/>
    <mergeCell ref="A11:B11"/>
    <mergeCell ref="A1:K1"/>
    <mergeCell ref="A3:K3"/>
    <mergeCell ref="A7:K7"/>
    <mergeCell ref="A8:K8"/>
    <mergeCell ref="F9:G9"/>
    <mergeCell ref="A9:C9"/>
    <mergeCell ref="D9:E9"/>
    <mergeCell ref="H9:I9"/>
    <mergeCell ref="J9:K9"/>
    <mergeCell ref="A13:K13"/>
    <mergeCell ref="I14:K14"/>
    <mergeCell ref="D15:F15"/>
  </mergeCells>
  <phoneticPr fontId="2" type="noConversion"/>
  <conditionalFormatting sqref="N11">
    <cfRule type="containsText" dxfId="1" priority="1" operator="containsText" text="문제있음">
      <formula>NOT(ISERROR(SEARCH("문제있음",N11)))</formula>
    </cfRule>
    <cfRule type="containsText" dxfId="0" priority="2" operator="containsText" text="이상없음">
      <formula>NOT(ISERROR(SEARCH("이상없음",N11)))</formula>
    </cfRule>
  </conditionalFormatting>
  <pageMargins left="0.25" right="0.25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0"/>
  <sheetViews>
    <sheetView workbookViewId="0">
      <selection activeCell="E13" sqref="E13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77" t="s">
        <v>12</v>
      </c>
      <c r="B1" s="77" t="s">
        <v>13</v>
      </c>
      <c r="C1" s="77" t="s">
        <v>14</v>
      </c>
      <c r="D1" s="77" t="s">
        <v>15</v>
      </c>
      <c r="E1" s="77" t="s">
        <v>16</v>
      </c>
      <c r="F1" s="74" t="s">
        <v>17</v>
      </c>
      <c r="G1" s="75"/>
      <c r="H1" s="75"/>
      <c r="I1" s="75"/>
      <c r="J1" s="75"/>
      <c r="K1" s="75"/>
      <c r="L1" s="76"/>
      <c r="M1" s="74" t="s">
        <v>18</v>
      </c>
      <c r="N1" s="75"/>
      <c r="O1" s="75"/>
      <c r="P1" s="75"/>
      <c r="Q1" s="75"/>
      <c r="R1" s="75"/>
      <c r="S1" s="76"/>
      <c r="T1" s="74" t="s">
        <v>19</v>
      </c>
      <c r="U1" s="75"/>
      <c r="V1" s="75"/>
      <c r="W1" s="75"/>
      <c r="X1" s="75"/>
      <c r="Y1" s="76"/>
      <c r="Z1" s="74" t="s">
        <v>20</v>
      </c>
      <c r="AA1" s="75"/>
      <c r="AB1" s="75"/>
      <c r="AC1" s="76"/>
      <c r="AD1" s="77" t="s">
        <v>21</v>
      </c>
      <c r="AE1" s="77" t="s">
        <v>22</v>
      </c>
      <c r="AF1" s="74" t="s">
        <v>17</v>
      </c>
      <c r="AG1" s="76"/>
      <c r="AH1" s="74" t="s">
        <v>18</v>
      </c>
      <c r="AI1" s="76"/>
      <c r="AJ1" s="10" t="s">
        <v>19</v>
      </c>
      <c r="AK1" s="74" t="s">
        <v>20</v>
      </c>
      <c r="AL1" s="76"/>
    </row>
    <row r="2" spans="1:38">
      <c r="A2" s="78"/>
      <c r="B2" s="78"/>
      <c r="C2" s="78"/>
      <c r="D2" s="78"/>
      <c r="E2" s="78"/>
      <c r="F2" s="10" t="s">
        <v>23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  <c r="R2" s="10" t="s">
        <v>35</v>
      </c>
      <c r="S2" s="10" t="s">
        <v>28</v>
      </c>
      <c r="T2" s="10" t="s">
        <v>36</v>
      </c>
      <c r="U2" s="10" t="s">
        <v>37</v>
      </c>
      <c r="V2" s="10" t="s">
        <v>38</v>
      </c>
      <c r="W2" s="10" t="s">
        <v>39</v>
      </c>
      <c r="X2" s="10" t="s">
        <v>40</v>
      </c>
      <c r="Y2" s="10" t="s">
        <v>28</v>
      </c>
      <c r="Z2" s="10" t="s">
        <v>41</v>
      </c>
      <c r="AA2" s="10" t="s">
        <v>42</v>
      </c>
      <c r="AB2" s="10" t="s">
        <v>43</v>
      </c>
      <c r="AC2" s="10" t="s">
        <v>28</v>
      </c>
      <c r="AD2" s="78"/>
      <c r="AE2" s="78"/>
      <c r="AF2" s="10" t="s">
        <v>44</v>
      </c>
      <c r="AG2" s="10" t="s">
        <v>45</v>
      </c>
      <c r="AH2" s="10" t="s">
        <v>44</v>
      </c>
      <c r="AI2" s="10" t="s">
        <v>45</v>
      </c>
      <c r="AJ2" s="10" t="s">
        <v>46</v>
      </c>
      <c r="AK2" s="10" t="s">
        <v>44</v>
      </c>
      <c r="AL2" s="10" t="s">
        <v>45</v>
      </c>
    </row>
    <row r="3" spans="1:38">
      <c r="A3" s="11" t="s">
        <v>47</v>
      </c>
      <c r="B3" s="11"/>
      <c r="C3" s="11"/>
      <c r="D3" s="11"/>
      <c r="E3" s="11"/>
      <c r="F3" s="12"/>
      <c r="G3" s="13"/>
      <c r="H3" s="14">
        <v>337400</v>
      </c>
      <c r="I3" s="11"/>
      <c r="J3" s="13"/>
      <c r="K3" s="11"/>
      <c r="L3" s="12"/>
      <c r="M3" s="13"/>
      <c r="N3" s="13"/>
      <c r="O3" s="14">
        <v>337400</v>
      </c>
      <c r="P3" s="11"/>
      <c r="Q3" s="13"/>
      <c r="R3" s="11"/>
      <c r="S3" s="11"/>
      <c r="T3" s="13"/>
      <c r="U3" s="14">
        <v>337400</v>
      </c>
      <c r="V3" s="11"/>
      <c r="W3" s="13"/>
      <c r="X3" s="11"/>
      <c r="Y3" s="11"/>
      <c r="Z3" s="13"/>
      <c r="AA3" s="13"/>
      <c r="AB3" s="11"/>
      <c r="AC3" s="11"/>
      <c r="AD3" s="11"/>
      <c r="AE3" s="13"/>
      <c r="AF3" s="11"/>
      <c r="AG3" s="11"/>
      <c r="AH3" s="11"/>
      <c r="AI3" s="11"/>
      <c r="AJ3" s="11"/>
      <c r="AK3" s="11"/>
      <c r="AL3" s="11"/>
    </row>
    <row r="4" spans="1:38">
      <c r="A4" s="11" t="s">
        <v>48</v>
      </c>
      <c r="B4" s="11" t="s">
        <v>59</v>
      </c>
      <c r="C4" s="11" t="s">
        <v>49</v>
      </c>
      <c r="D4" s="11" t="s">
        <v>58</v>
      </c>
      <c r="E4" s="11" t="s">
        <v>62</v>
      </c>
      <c r="F4" s="12">
        <v>236</v>
      </c>
      <c r="G4" s="15">
        <v>43928</v>
      </c>
      <c r="H4" s="14">
        <v>86900</v>
      </c>
      <c r="I4" s="11" t="s">
        <v>50</v>
      </c>
      <c r="J4" s="15">
        <v>43928</v>
      </c>
      <c r="K4" s="11" t="s">
        <v>63</v>
      </c>
      <c r="L4" s="12">
        <v>0</v>
      </c>
      <c r="M4" s="16" t="s">
        <v>64</v>
      </c>
      <c r="N4" s="15">
        <v>43928</v>
      </c>
      <c r="O4" s="14">
        <v>86900</v>
      </c>
      <c r="P4" s="11" t="s">
        <v>51</v>
      </c>
      <c r="Q4" s="15">
        <v>43928</v>
      </c>
      <c r="R4" s="11" t="s">
        <v>52</v>
      </c>
      <c r="S4" s="11" t="s">
        <v>63</v>
      </c>
      <c r="T4" s="15">
        <v>43929</v>
      </c>
      <c r="U4" s="14">
        <v>86900</v>
      </c>
      <c r="V4" s="11" t="s">
        <v>53</v>
      </c>
      <c r="W4" s="15">
        <v>43929</v>
      </c>
      <c r="X4" s="11" t="s">
        <v>52</v>
      </c>
      <c r="Y4" s="11" t="s">
        <v>63</v>
      </c>
      <c r="Z4" s="15">
        <v>43929</v>
      </c>
      <c r="AA4" s="16" t="s">
        <v>65</v>
      </c>
      <c r="AB4" s="11" t="s">
        <v>54</v>
      </c>
      <c r="AC4" s="11" t="s">
        <v>63</v>
      </c>
      <c r="AD4" s="11" t="s">
        <v>55</v>
      </c>
      <c r="AE4" s="13"/>
      <c r="AF4" s="11" t="s">
        <v>57</v>
      </c>
      <c r="AG4" s="11" t="s">
        <v>60</v>
      </c>
      <c r="AH4" s="11" t="s">
        <v>57</v>
      </c>
      <c r="AI4" s="11" t="s">
        <v>61</v>
      </c>
      <c r="AJ4" s="11" t="s">
        <v>57</v>
      </c>
      <c r="AK4" s="11" t="s">
        <v>57</v>
      </c>
      <c r="AL4" s="11" t="s">
        <v>60</v>
      </c>
    </row>
    <row r="5" spans="1:38">
      <c r="A5" s="11" t="s">
        <v>48</v>
      </c>
      <c r="B5" s="11" t="s">
        <v>59</v>
      </c>
      <c r="C5" s="11" t="s">
        <v>49</v>
      </c>
      <c r="D5" s="11" t="s">
        <v>58</v>
      </c>
      <c r="E5" s="11" t="s">
        <v>62</v>
      </c>
      <c r="F5" s="12">
        <v>256</v>
      </c>
      <c r="G5" s="15">
        <v>43937</v>
      </c>
      <c r="H5" s="14">
        <v>120000</v>
      </c>
      <c r="I5" s="11" t="s">
        <v>50</v>
      </c>
      <c r="J5" s="15">
        <v>43937</v>
      </c>
      <c r="K5" s="11" t="s">
        <v>66</v>
      </c>
      <c r="L5" s="12">
        <v>0</v>
      </c>
      <c r="M5" s="16" t="s">
        <v>67</v>
      </c>
      <c r="N5" s="15">
        <v>43937</v>
      </c>
      <c r="O5" s="14">
        <v>120000</v>
      </c>
      <c r="P5" s="11" t="s">
        <v>51</v>
      </c>
      <c r="Q5" s="15">
        <v>43937</v>
      </c>
      <c r="R5" s="11" t="s">
        <v>52</v>
      </c>
      <c r="S5" s="11" t="s">
        <v>66</v>
      </c>
      <c r="T5" s="15">
        <v>43938</v>
      </c>
      <c r="U5" s="14">
        <v>120000</v>
      </c>
      <c r="V5" s="11" t="s">
        <v>53</v>
      </c>
      <c r="W5" s="15">
        <v>43938</v>
      </c>
      <c r="X5" s="11" t="s">
        <v>52</v>
      </c>
      <c r="Y5" s="11" t="s">
        <v>66</v>
      </c>
      <c r="Z5" s="15">
        <v>43938</v>
      </c>
      <c r="AA5" s="16" t="s">
        <v>68</v>
      </c>
      <c r="AB5" s="11" t="s">
        <v>54</v>
      </c>
      <c r="AC5" s="11" t="s">
        <v>66</v>
      </c>
      <c r="AD5" s="11" t="s">
        <v>55</v>
      </c>
      <c r="AE5" s="13"/>
      <c r="AF5" s="11" t="s">
        <v>57</v>
      </c>
      <c r="AG5" s="11" t="s">
        <v>60</v>
      </c>
      <c r="AH5" s="11" t="s">
        <v>57</v>
      </c>
      <c r="AI5" s="11" t="s">
        <v>61</v>
      </c>
      <c r="AJ5" s="11" t="s">
        <v>57</v>
      </c>
      <c r="AK5" s="11" t="s">
        <v>57</v>
      </c>
      <c r="AL5" s="11" t="s">
        <v>60</v>
      </c>
    </row>
    <row r="6" spans="1:38">
      <c r="A6" s="11" t="s">
        <v>48</v>
      </c>
      <c r="B6" s="11" t="s">
        <v>59</v>
      </c>
      <c r="C6" s="11" t="s">
        <v>49</v>
      </c>
      <c r="D6" s="11" t="s">
        <v>58</v>
      </c>
      <c r="E6" s="11" t="s">
        <v>62</v>
      </c>
      <c r="F6" s="12">
        <v>287</v>
      </c>
      <c r="G6" s="15">
        <v>43945</v>
      </c>
      <c r="H6" s="14">
        <v>130500</v>
      </c>
      <c r="I6" s="11" t="s">
        <v>50</v>
      </c>
      <c r="J6" s="15">
        <v>43945</v>
      </c>
      <c r="K6" s="11" t="s">
        <v>69</v>
      </c>
      <c r="L6" s="12">
        <v>0</v>
      </c>
      <c r="M6" s="16" t="s">
        <v>70</v>
      </c>
      <c r="N6" s="15">
        <v>43949</v>
      </c>
      <c r="O6" s="14">
        <v>130500</v>
      </c>
      <c r="P6" s="11" t="s">
        <v>51</v>
      </c>
      <c r="Q6" s="15">
        <v>43945</v>
      </c>
      <c r="R6" s="11" t="s">
        <v>52</v>
      </c>
      <c r="S6" s="11" t="s">
        <v>69</v>
      </c>
      <c r="T6" s="15">
        <v>43950</v>
      </c>
      <c r="U6" s="14">
        <v>130500</v>
      </c>
      <c r="V6" s="11" t="s">
        <v>53</v>
      </c>
      <c r="W6" s="15">
        <v>43950</v>
      </c>
      <c r="X6" s="11" t="s">
        <v>52</v>
      </c>
      <c r="Y6" s="11" t="s">
        <v>69</v>
      </c>
      <c r="Z6" s="15">
        <v>43950</v>
      </c>
      <c r="AA6" s="16" t="s">
        <v>71</v>
      </c>
      <c r="AB6" s="11" t="s">
        <v>54</v>
      </c>
      <c r="AC6" s="11" t="s">
        <v>69</v>
      </c>
      <c r="AD6" s="11" t="s">
        <v>55</v>
      </c>
      <c r="AE6" s="13"/>
      <c r="AF6" s="11" t="s">
        <v>57</v>
      </c>
      <c r="AG6" s="11" t="s">
        <v>60</v>
      </c>
      <c r="AH6" s="11" t="s">
        <v>57</v>
      </c>
      <c r="AI6" s="11" t="s">
        <v>61</v>
      </c>
      <c r="AJ6" s="11" t="s">
        <v>57</v>
      </c>
      <c r="AK6" s="11" t="s">
        <v>57</v>
      </c>
      <c r="AL6" s="11" t="s">
        <v>60</v>
      </c>
    </row>
    <row r="7" spans="1:38">
      <c r="A7" s="11"/>
      <c r="B7" s="11"/>
      <c r="C7" s="11"/>
      <c r="D7" s="11"/>
      <c r="E7" s="11"/>
      <c r="F7" s="12"/>
      <c r="G7" s="15"/>
      <c r="H7" s="14"/>
      <c r="I7" s="11"/>
      <c r="J7" s="15"/>
      <c r="K7" s="11"/>
      <c r="L7" s="12"/>
      <c r="M7" s="16"/>
      <c r="N7" s="15"/>
      <c r="O7" s="14"/>
      <c r="P7" s="11"/>
      <c r="Q7" s="15"/>
      <c r="R7" s="11"/>
      <c r="S7" s="11"/>
      <c r="T7" s="15"/>
      <c r="U7" s="14"/>
      <c r="V7" s="11"/>
      <c r="W7" s="15"/>
      <c r="X7" s="11"/>
      <c r="Y7" s="11"/>
      <c r="Z7" s="15"/>
      <c r="AA7" s="16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</row>
    <row r="8" spans="1:38">
      <c r="A8" s="11"/>
      <c r="B8" s="11"/>
      <c r="C8" s="11"/>
      <c r="D8" s="11"/>
      <c r="E8" s="11"/>
      <c r="F8" s="12"/>
      <c r="G8" s="15"/>
      <c r="H8" s="14"/>
      <c r="I8" s="11"/>
      <c r="J8" s="15"/>
      <c r="K8" s="11"/>
      <c r="L8" s="12"/>
      <c r="M8" s="16"/>
      <c r="N8" s="15"/>
      <c r="O8" s="14"/>
      <c r="P8" s="11"/>
      <c r="Q8" s="15"/>
      <c r="R8" s="11"/>
      <c r="S8" s="11"/>
      <c r="T8" s="15"/>
      <c r="U8" s="14"/>
      <c r="V8" s="11"/>
      <c r="W8" s="15"/>
      <c r="X8" s="11"/>
      <c r="Y8" s="11"/>
      <c r="Z8" s="15"/>
      <c r="AA8" s="16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</row>
    <row r="9" spans="1:38">
      <c r="A9" s="11"/>
      <c r="B9" s="11"/>
      <c r="C9" s="11"/>
      <c r="D9" s="11"/>
      <c r="E9" s="11"/>
      <c r="F9" s="12"/>
      <c r="G9" s="15"/>
      <c r="H9" s="14"/>
      <c r="I9" s="11"/>
      <c r="J9" s="15"/>
      <c r="K9" s="11"/>
      <c r="L9" s="12"/>
      <c r="M9" s="16"/>
      <c r="N9" s="15"/>
      <c r="O9" s="14"/>
      <c r="P9" s="11"/>
      <c r="Q9" s="15"/>
      <c r="R9" s="11"/>
      <c r="S9" s="11"/>
      <c r="T9" s="15"/>
      <c r="U9" s="14"/>
      <c r="V9" s="11"/>
      <c r="W9" s="15"/>
      <c r="X9" s="11"/>
      <c r="Y9" s="11"/>
      <c r="Z9" s="15"/>
      <c r="AA9" s="16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</row>
    <row r="10" spans="1:38">
      <c r="A10" s="11"/>
      <c r="B10" s="11"/>
      <c r="C10" s="11"/>
      <c r="D10" s="11"/>
      <c r="E10" s="11"/>
      <c r="F10" s="12"/>
      <c r="G10" s="15"/>
      <c r="H10" s="14"/>
      <c r="I10" s="11"/>
      <c r="J10" s="15"/>
      <c r="K10" s="11"/>
      <c r="L10" s="12"/>
      <c r="M10" s="16"/>
      <c r="N10" s="15"/>
      <c r="O10" s="14"/>
      <c r="P10" s="11"/>
      <c r="Q10" s="15"/>
      <c r="R10" s="11"/>
      <c r="S10" s="11"/>
      <c r="T10" s="15"/>
      <c r="U10" s="14"/>
      <c r="V10" s="11"/>
      <c r="W10" s="15"/>
      <c r="X10" s="11"/>
      <c r="Y10" s="11"/>
      <c r="Z10" s="15"/>
      <c r="AA10" s="16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</row>
    <row r="11" spans="1:38">
      <c r="A11" s="11"/>
      <c r="B11" s="11"/>
      <c r="C11" s="11"/>
      <c r="D11" s="11"/>
      <c r="E11" s="11"/>
      <c r="F11" s="12"/>
      <c r="G11" s="15"/>
      <c r="H11" s="14"/>
      <c r="I11" s="11"/>
      <c r="J11" s="15"/>
      <c r="K11" s="11"/>
      <c r="L11" s="12"/>
      <c r="M11" s="16"/>
      <c r="N11" s="15"/>
      <c r="O11" s="14"/>
      <c r="P11" s="11"/>
      <c r="Q11" s="15"/>
      <c r="R11" s="11"/>
      <c r="S11" s="11"/>
      <c r="T11" s="15"/>
      <c r="U11" s="14"/>
      <c r="V11" s="11"/>
      <c r="W11" s="15"/>
      <c r="X11" s="11"/>
      <c r="Y11" s="11"/>
      <c r="Z11" s="15"/>
      <c r="AA11" s="16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</row>
    <row r="12" spans="1:38">
      <c r="A12" s="11"/>
      <c r="B12" s="11"/>
      <c r="C12" s="11"/>
      <c r="D12" s="11"/>
      <c r="E12" s="11"/>
      <c r="F12" s="12"/>
      <c r="G12" s="15"/>
      <c r="H12" s="14"/>
      <c r="I12" s="11"/>
      <c r="J12" s="15"/>
      <c r="K12" s="11"/>
      <c r="L12" s="12"/>
      <c r="M12" s="16"/>
      <c r="N12" s="15"/>
      <c r="O12" s="14"/>
      <c r="P12" s="11"/>
      <c r="Q12" s="15"/>
      <c r="R12" s="11"/>
      <c r="S12" s="11"/>
      <c r="T12" s="15"/>
      <c r="U12" s="14"/>
      <c r="V12" s="11"/>
      <c r="W12" s="15"/>
      <c r="X12" s="11"/>
      <c r="Y12" s="11"/>
      <c r="Z12" s="15"/>
      <c r="AA12" s="16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</row>
    <row r="13" spans="1:38">
      <c r="A13" s="11"/>
      <c r="B13" s="11"/>
      <c r="C13" s="11"/>
      <c r="D13" s="11"/>
      <c r="E13" s="11"/>
      <c r="F13" s="12"/>
      <c r="G13" s="15"/>
      <c r="H13" s="14"/>
      <c r="I13" s="11"/>
      <c r="J13" s="15"/>
      <c r="K13" s="11"/>
      <c r="L13" s="12"/>
      <c r="M13" s="16"/>
      <c r="N13" s="15"/>
      <c r="O13" s="14"/>
      <c r="P13" s="11"/>
      <c r="Q13" s="15"/>
      <c r="R13" s="11"/>
      <c r="S13" s="11"/>
      <c r="T13" s="15"/>
      <c r="U13" s="14"/>
      <c r="V13" s="11"/>
      <c r="W13" s="15"/>
      <c r="X13" s="11"/>
      <c r="Y13" s="11"/>
      <c r="Z13" s="15"/>
      <c r="AA13" s="16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</row>
    <row r="14" spans="1:38">
      <c r="A14" s="11"/>
      <c r="B14" s="11"/>
      <c r="C14" s="11"/>
      <c r="D14" s="11"/>
      <c r="E14" s="11"/>
      <c r="F14" s="12"/>
      <c r="G14" s="15"/>
      <c r="H14" s="14"/>
      <c r="I14" s="11"/>
      <c r="J14" s="15"/>
      <c r="K14" s="11"/>
      <c r="L14" s="12"/>
      <c r="M14" s="16"/>
      <c r="N14" s="15"/>
      <c r="O14" s="14"/>
      <c r="P14" s="11"/>
      <c r="Q14" s="15"/>
      <c r="R14" s="11"/>
      <c r="S14" s="11"/>
      <c r="T14" s="15"/>
      <c r="U14" s="14"/>
      <c r="V14" s="11"/>
      <c r="W14" s="15"/>
      <c r="X14" s="11"/>
      <c r="Y14" s="11"/>
      <c r="Z14" s="15"/>
      <c r="AA14" s="16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</row>
    <row r="15" spans="1:38">
      <c r="A15" s="11"/>
      <c r="B15" s="11"/>
      <c r="C15" s="11"/>
      <c r="D15" s="11"/>
      <c r="E15" s="11"/>
      <c r="F15" s="12"/>
      <c r="G15" s="15"/>
      <c r="H15" s="14"/>
      <c r="I15" s="11"/>
      <c r="J15" s="15"/>
      <c r="K15" s="11"/>
      <c r="L15" s="12"/>
      <c r="M15" s="16"/>
      <c r="N15" s="15"/>
      <c r="O15" s="14"/>
      <c r="P15" s="11"/>
      <c r="Q15" s="15"/>
      <c r="R15" s="11"/>
      <c r="S15" s="11"/>
      <c r="T15" s="15"/>
      <c r="U15" s="14"/>
      <c r="V15" s="11"/>
      <c r="W15" s="15"/>
      <c r="X15" s="11"/>
      <c r="Y15" s="11"/>
      <c r="Z15" s="15"/>
      <c r="AA15" s="16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</row>
    <row r="16" spans="1:38">
      <c r="A16" s="11"/>
      <c r="B16" s="11"/>
      <c r="C16" s="11"/>
      <c r="D16" s="11"/>
      <c r="E16" s="11"/>
      <c r="F16" s="12"/>
      <c r="G16" s="15"/>
      <c r="H16" s="14"/>
      <c r="I16" s="11"/>
      <c r="J16" s="15"/>
      <c r="K16" s="11"/>
      <c r="L16" s="12"/>
      <c r="M16" s="16"/>
      <c r="N16" s="15"/>
      <c r="O16" s="14"/>
      <c r="P16" s="11"/>
      <c r="Q16" s="15"/>
      <c r="R16" s="11"/>
      <c r="S16" s="11"/>
      <c r="T16" s="15"/>
      <c r="U16" s="14"/>
      <c r="V16" s="11"/>
      <c r="W16" s="15"/>
      <c r="X16" s="11"/>
      <c r="Y16" s="11"/>
      <c r="Z16" s="15"/>
      <c r="AA16" s="16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</row>
    <row r="17" spans="1:38">
      <c r="A17" s="11"/>
      <c r="B17" s="11"/>
      <c r="C17" s="11"/>
      <c r="D17" s="11"/>
      <c r="E17" s="11"/>
      <c r="F17" s="12"/>
      <c r="G17" s="15"/>
      <c r="H17" s="14"/>
      <c r="I17" s="11"/>
      <c r="J17" s="15"/>
      <c r="K17" s="11"/>
      <c r="L17" s="12"/>
      <c r="M17" s="16"/>
      <c r="N17" s="15"/>
      <c r="O17" s="14"/>
      <c r="P17" s="11"/>
      <c r="Q17" s="15"/>
      <c r="R17" s="11"/>
      <c r="S17" s="11"/>
      <c r="T17" s="15"/>
      <c r="U17" s="14"/>
      <c r="V17" s="11"/>
      <c r="W17" s="15"/>
      <c r="X17" s="11"/>
      <c r="Y17" s="11"/>
      <c r="Z17" s="15"/>
      <c r="AA17" s="16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</row>
    <row r="18" spans="1:38">
      <c r="A18" s="11"/>
      <c r="B18" s="11"/>
      <c r="C18" s="11"/>
      <c r="D18" s="11"/>
      <c r="E18" s="11"/>
      <c r="F18" s="12"/>
      <c r="G18" s="15"/>
      <c r="H18" s="14"/>
      <c r="I18" s="11"/>
      <c r="J18" s="15"/>
      <c r="K18" s="11"/>
      <c r="L18" s="12"/>
      <c r="M18" s="16"/>
      <c r="N18" s="15"/>
      <c r="O18" s="14"/>
      <c r="P18" s="11"/>
      <c r="Q18" s="15"/>
      <c r="R18" s="11"/>
      <c r="S18" s="11"/>
      <c r="T18" s="15"/>
      <c r="U18" s="14"/>
      <c r="V18" s="11"/>
      <c r="W18" s="15"/>
      <c r="X18" s="11"/>
      <c r="Y18" s="11"/>
      <c r="Z18" s="15"/>
      <c r="AA18" s="16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</row>
    <row r="19" spans="1:38">
      <c r="A19" s="11"/>
      <c r="B19" s="11"/>
      <c r="C19" s="11"/>
      <c r="D19" s="11"/>
      <c r="E19" s="11"/>
      <c r="F19" s="12"/>
      <c r="G19" s="15"/>
      <c r="H19" s="14"/>
      <c r="I19" s="11"/>
      <c r="J19" s="15"/>
      <c r="K19" s="11"/>
      <c r="L19" s="12"/>
      <c r="M19" s="16"/>
      <c r="N19" s="15"/>
      <c r="O19" s="14"/>
      <c r="P19" s="11"/>
      <c r="Q19" s="15"/>
      <c r="R19" s="11"/>
      <c r="S19" s="11"/>
      <c r="T19" s="15"/>
      <c r="U19" s="14"/>
      <c r="V19" s="11"/>
      <c r="W19" s="15"/>
      <c r="X19" s="11"/>
      <c r="Y19" s="11"/>
      <c r="Z19" s="15"/>
      <c r="AA19" s="16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</row>
    <row r="20" spans="1:38">
      <c r="A20" s="11"/>
      <c r="B20" s="11"/>
      <c r="C20" s="11"/>
      <c r="D20" s="11"/>
      <c r="E20" s="11"/>
      <c r="F20" s="12"/>
      <c r="G20" s="15"/>
      <c r="H20" s="14"/>
      <c r="I20" s="11"/>
      <c r="J20" s="15"/>
      <c r="K20" s="11"/>
      <c r="L20" s="12"/>
      <c r="M20" s="16"/>
      <c r="N20" s="15"/>
      <c r="O20" s="14"/>
      <c r="P20" s="11"/>
      <c r="Q20" s="15"/>
      <c r="R20" s="11"/>
      <c r="S20" s="11"/>
      <c r="T20" s="15"/>
      <c r="U20" s="14"/>
      <c r="V20" s="11"/>
      <c r="W20" s="15"/>
      <c r="X20" s="11"/>
      <c r="Y20" s="11"/>
      <c r="Z20" s="15"/>
      <c r="AA20" s="16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</row>
    <row r="21" spans="1:38">
      <c r="A21" s="11"/>
      <c r="B21" s="11"/>
      <c r="C21" s="11"/>
      <c r="D21" s="11"/>
      <c r="E21" s="11"/>
      <c r="F21" s="12"/>
      <c r="G21" s="15"/>
      <c r="H21" s="14"/>
      <c r="I21" s="11"/>
      <c r="J21" s="15"/>
      <c r="K21" s="11"/>
      <c r="L21" s="12"/>
      <c r="M21" s="16"/>
      <c r="N21" s="15"/>
      <c r="O21" s="14"/>
      <c r="P21" s="11"/>
      <c r="Q21" s="15"/>
      <c r="R21" s="11"/>
      <c r="S21" s="11"/>
      <c r="T21" s="15"/>
      <c r="U21" s="14"/>
      <c r="V21" s="11"/>
      <c r="W21" s="15"/>
      <c r="X21" s="11"/>
      <c r="Y21" s="11"/>
      <c r="Z21" s="15"/>
      <c r="AA21" s="16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</row>
    <row r="22" spans="1:38">
      <c r="A22" s="11"/>
      <c r="B22" s="11"/>
      <c r="C22" s="11"/>
      <c r="D22" s="11"/>
      <c r="E22" s="11"/>
      <c r="F22" s="12"/>
      <c r="G22" s="15"/>
      <c r="H22" s="14"/>
      <c r="I22" s="11"/>
      <c r="J22" s="15"/>
      <c r="K22" s="11"/>
      <c r="L22" s="12"/>
      <c r="M22" s="16"/>
      <c r="N22" s="15"/>
      <c r="O22" s="14"/>
      <c r="P22" s="11"/>
      <c r="Q22" s="15"/>
      <c r="R22" s="11"/>
      <c r="S22" s="11"/>
      <c r="T22" s="15"/>
      <c r="U22" s="14"/>
      <c r="V22" s="11"/>
      <c r="W22" s="15"/>
      <c r="X22" s="11"/>
      <c r="Y22" s="11"/>
      <c r="Z22" s="15"/>
      <c r="AA22" s="16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</row>
    <row r="23" spans="1:38">
      <c r="A23" s="11"/>
      <c r="B23" s="11"/>
      <c r="C23" s="11"/>
      <c r="D23" s="11"/>
      <c r="E23" s="11"/>
      <c r="F23" s="12"/>
      <c r="G23" s="15"/>
      <c r="H23" s="14"/>
      <c r="I23" s="11"/>
      <c r="J23" s="15"/>
      <c r="K23" s="11"/>
      <c r="L23" s="12"/>
      <c r="M23" s="16"/>
      <c r="N23" s="15"/>
      <c r="O23" s="14"/>
      <c r="P23" s="11"/>
      <c r="Q23" s="15"/>
      <c r="R23" s="11"/>
      <c r="S23" s="11"/>
      <c r="T23" s="15"/>
      <c r="U23" s="14"/>
      <c r="V23" s="11"/>
      <c r="W23" s="15"/>
      <c r="X23" s="11"/>
      <c r="Y23" s="11"/>
      <c r="Z23" s="15"/>
      <c r="AA23" s="16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</row>
    <row r="24" spans="1:38">
      <c r="A24" s="11"/>
      <c r="B24" s="11"/>
      <c r="C24" s="11"/>
      <c r="D24" s="11"/>
      <c r="E24" s="11"/>
      <c r="F24" s="12"/>
      <c r="G24" s="15"/>
      <c r="H24" s="14"/>
      <c r="I24" s="11"/>
      <c r="J24" s="15"/>
      <c r="K24" s="11"/>
      <c r="L24" s="12"/>
      <c r="M24" s="16"/>
      <c r="N24" s="15"/>
      <c r="O24" s="14"/>
      <c r="P24" s="11"/>
      <c r="Q24" s="15"/>
      <c r="R24" s="11"/>
      <c r="S24" s="11"/>
      <c r="T24" s="15"/>
      <c r="U24" s="14"/>
      <c r="V24" s="11"/>
      <c r="W24" s="15"/>
      <c r="X24" s="11"/>
      <c r="Y24" s="11"/>
      <c r="Z24" s="15"/>
      <c r="AA24" s="16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</row>
    <row r="25" spans="1:38">
      <c r="A25" s="11"/>
      <c r="B25" s="11"/>
      <c r="C25" s="11"/>
      <c r="D25" s="11"/>
      <c r="E25" s="11"/>
      <c r="F25" s="12"/>
      <c r="G25" s="15"/>
      <c r="H25" s="14"/>
      <c r="I25" s="11"/>
      <c r="J25" s="15"/>
      <c r="K25" s="11"/>
      <c r="L25" s="12"/>
      <c r="M25" s="16"/>
      <c r="N25" s="15"/>
      <c r="O25" s="14"/>
      <c r="P25" s="11"/>
      <c r="Q25" s="15"/>
      <c r="R25" s="11"/>
      <c r="S25" s="11"/>
      <c r="T25" s="15"/>
      <c r="U25" s="14"/>
      <c r="V25" s="11"/>
      <c r="W25" s="15"/>
      <c r="X25" s="11"/>
      <c r="Y25" s="11"/>
      <c r="Z25" s="15"/>
      <c r="AA25" s="16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</row>
    <row r="26" spans="1:38">
      <c r="A26" s="11"/>
      <c r="B26" s="11"/>
      <c r="C26" s="11"/>
      <c r="D26" s="11"/>
      <c r="E26" s="11"/>
      <c r="F26" s="12"/>
      <c r="G26" s="15"/>
      <c r="H26" s="14"/>
      <c r="I26" s="11"/>
      <c r="J26" s="15"/>
      <c r="K26" s="11"/>
      <c r="L26" s="12"/>
      <c r="M26" s="16"/>
      <c r="N26" s="15"/>
      <c r="O26" s="14"/>
      <c r="P26" s="11"/>
      <c r="Q26" s="15"/>
      <c r="R26" s="11"/>
      <c r="S26" s="11"/>
      <c r="T26" s="15"/>
      <c r="U26" s="14"/>
      <c r="V26" s="11"/>
      <c r="W26" s="15"/>
      <c r="X26" s="11"/>
      <c r="Y26" s="11"/>
      <c r="Z26" s="15"/>
      <c r="AA26" s="16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</row>
    <row r="27" spans="1:38">
      <c r="A27" s="11"/>
      <c r="B27" s="11"/>
      <c r="C27" s="11"/>
      <c r="D27" s="11"/>
      <c r="E27" s="11"/>
      <c r="F27" s="12"/>
      <c r="G27" s="15"/>
      <c r="H27" s="14"/>
      <c r="I27" s="11"/>
      <c r="J27" s="15"/>
      <c r="K27" s="11"/>
      <c r="L27" s="12"/>
      <c r="M27" s="16"/>
      <c r="N27" s="15"/>
      <c r="O27" s="14"/>
      <c r="P27" s="11"/>
      <c r="Q27" s="15"/>
      <c r="R27" s="11"/>
      <c r="S27" s="11"/>
      <c r="T27" s="15"/>
      <c r="U27" s="14"/>
      <c r="V27" s="11"/>
      <c r="W27" s="15"/>
      <c r="X27" s="11"/>
      <c r="Y27" s="11"/>
      <c r="Z27" s="15"/>
      <c r="AA27" s="16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</row>
    <row r="28" spans="1:38">
      <c r="A28" s="11"/>
      <c r="B28" s="11"/>
      <c r="C28" s="11"/>
      <c r="D28" s="11"/>
      <c r="E28" s="11"/>
      <c r="F28" s="12"/>
      <c r="G28" s="15"/>
      <c r="H28" s="14"/>
      <c r="I28" s="11"/>
      <c r="J28" s="15"/>
      <c r="K28" s="11"/>
      <c r="L28" s="12"/>
      <c r="M28" s="16"/>
      <c r="N28" s="15"/>
      <c r="O28" s="14"/>
      <c r="P28" s="11"/>
      <c r="Q28" s="15"/>
      <c r="R28" s="11"/>
      <c r="S28" s="11"/>
      <c r="T28" s="15"/>
      <c r="U28" s="14"/>
      <c r="V28" s="11"/>
      <c r="W28" s="15"/>
      <c r="X28" s="11"/>
      <c r="Y28" s="11"/>
      <c r="Z28" s="15"/>
      <c r="AA28" s="16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</row>
    <row r="29" spans="1:38">
      <c r="A29" s="11"/>
      <c r="B29" s="11"/>
      <c r="C29" s="11"/>
      <c r="D29" s="11"/>
      <c r="E29" s="11"/>
      <c r="F29" s="12"/>
      <c r="G29" s="15"/>
      <c r="H29" s="14"/>
      <c r="I29" s="11"/>
      <c r="J29" s="15"/>
      <c r="K29" s="11"/>
      <c r="L29" s="12"/>
      <c r="M29" s="16"/>
      <c r="N29" s="15"/>
      <c r="O29" s="14"/>
      <c r="P29" s="11"/>
      <c r="Q29" s="15"/>
      <c r="R29" s="11"/>
      <c r="S29" s="11"/>
      <c r="T29" s="15"/>
      <c r="U29" s="14"/>
      <c r="V29" s="11"/>
      <c r="W29" s="15"/>
      <c r="X29" s="11"/>
      <c r="Y29" s="11"/>
      <c r="Z29" s="15"/>
      <c r="AA29" s="16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</row>
    <row r="30" spans="1:38">
      <c r="A30" s="11"/>
      <c r="B30" s="11"/>
      <c r="C30" s="11"/>
      <c r="D30" s="11"/>
      <c r="E30" s="11"/>
      <c r="F30" s="12"/>
      <c r="G30" s="15"/>
      <c r="H30" s="14"/>
      <c r="I30" s="11"/>
      <c r="J30" s="15"/>
      <c r="K30" s="11"/>
      <c r="L30" s="12"/>
      <c r="M30" s="16"/>
      <c r="N30" s="15"/>
      <c r="O30" s="14"/>
      <c r="P30" s="11"/>
      <c r="Q30" s="15"/>
      <c r="R30" s="11"/>
      <c r="S30" s="11"/>
      <c r="T30" s="15"/>
      <c r="U30" s="14"/>
      <c r="V30" s="11"/>
      <c r="W30" s="15"/>
      <c r="X30" s="11"/>
      <c r="Y30" s="11"/>
      <c r="Z30" s="15"/>
      <c r="AA30" s="16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16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2020-01-07T01:31:11Z</cp:lastPrinted>
  <dcterms:created xsi:type="dcterms:W3CDTF">2010-08-02T05:46:42Z</dcterms:created>
  <dcterms:modified xsi:type="dcterms:W3CDTF">2025-10-01T10:48:34Z</dcterms:modified>
</cp:coreProperties>
</file>