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지출 업무 관련 자료\2025년\2025년 홈페이지 공개자료\"/>
    </mc:Choice>
  </mc:AlternateContent>
  <bookViews>
    <workbookView xWindow="0" yWindow="0" windowWidth="28800" windowHeight="12165"/>
  </bookViews>
  <sheets>
    <sheet name="업무추진비" sheetId="1" r:id="rId1"/>
  </sheets>
  <externalReferences>
    <externalReference r:id="rId2"/>
  </externalReferences>
  <definedNames>
    <definedName name="경화">'[1]전체(작성)'!#REF!</definedName>
    <definedName name="ㅂㅂ">'[1]전체(작성)'!#REF!</definedName>
    <definedName name="지출번호">'[1]전체(작성)'!#REF!</definedName>
  </definedName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<sst xmlns="http://schemas.openxmlformats.org/spreadsheetml/2006/main" count="31" uniqueCount="26">
  <si>
    <t>(단위: 건/원)</t>
    <phoneticPr fontId="8" type="noConversion"/>
  </si>
  <si>
    <t>구   분</t>
  </si>
  <si>
    <t>합   계</t>
    <phoneticPr fontId="8" type="noConversion"/>
  </si>
  <si>
    <t>경조사 및 직원격려</t>
    <phoneticPr fontId="8" type="noConversion"/>
  </si>
  <si>
    <t>회의 및 간담회</t>
    <phoneticPr fontId="8" type="noConversion"/>
  </si>
  <si>
    <t>홍보기념품</t>
    <phoneticPr fontId="8" type="noConversion"/>
  </si>
  <si>
    <t>기타</t>
    <phoneticPr fontId="8" type="noConversion"/>
  </si>
  <si>
    <t>2025년 8월</t>
    <phoneticPr fontId="8" type="noConversion"/>
  </si>
  <si>
    <t>□ 세부집행내역</t>
    <phoneticPr fontId="8" type="noConversion"/>
  </si>
  <si>
    <t>(단위: 원)</t>
    <phoneticPr fontId="8" type="noConversion"/>
  </si>
  <si>
    <t>집  행  일</t>
    <phoneticPr fontId="8" type="noConversion"/>
  </si>
  <si>
    <t>집    행    내    용</t>
    <phoneticPr fontId="8" type="noConversion"/>
  </si>
  <si>
    <t>집행구분</t>
    <phoneticPr fontId="8" type="noConversion"/>
  </si>
  <si>
    <t>거래처</t>
    <phoneticPr fontId="8" type="noConversion"/>
  </si>
  <si>
    <t>집행액</t>
    <phoneticPr fontId="8" type="noConversion"/>
  </si>
  <si>
    <t>협업기관장 교류협력 간담회 급식비 지급</t>
  </si>
  <si>
    <t>다교막국수&amp;칼국수</t>
  </si>
  <si>
    <t>안전감사팀 직원 격려 간담회 급식비 지급</t>
  </si>
  <si>
    <t>꾸석지돌판한우 오산원동점</t>
  </si>
  <si>
    <t>경영기획팀 (부속실)직원 격려 간담회 급식비 지급</t>
  </si>
  <si>
    <t>주막보리밥</t>
  </si>
  <si>
    <t>복지사업팀 직원 격려 간담회 급식비 지급</t>
  </si>
  <si>
    <t>해밥달밥</t>
  </si>
  <si>
    <t>생활체육팀 직원 격려 간담회 급식비 지급</t>
  </si>
  <si>
    <t>또올래밥상</t>
  </si>
  <si>
    <t>합 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</si>
</sst>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&quot;오산도시공사 2025년 &quot;0&quot;월 업무추진비 집행 내역&quot;"/>
    <numFmt numFmtId="177" formatCode="#,##0_);[Red]\(#,##0\)"/>
    <numFmt numFmtId="178" formatCode="&quot;□ &quot;0&quot;월 지출유형별 집행내역 총괄&quot;"/>
    <numFmt numFmtId="179" formatCode="0_);[Red]\(0\)"/>
    <numFmt numFmtId="180" formatCode="#,###&quot;원&quot;"/>
  </numFmts>
  <fonts count="1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4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0.5"/>
      <color rgb="FF00000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rgb="FF333333"/>
      </right>
      <top style="medium">
        <color indexed="64"/>
      </top>
      <bottom/>
      <diagonal/>
    </border>
    <border>
      <left style="thin">
        <color rgb="FF333333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indexed="64"/>
      </right>
      <top/>
      <bottom style="thin">
        <color rgb="FF333333"/>
      </bottom>
      <diagonal/>
    </border>
    <border>
      <left style="thin">
        <color indexed="64"/>
      </left>
      <right/>
      <top/>
      <bottom style="thin">
        <color rgb="FF333333"/>
      </bottom>
      <diagonal/>
    </border>
    <border>
      <left/>
      <right style="thin">
        <color indexed="64"/>
      </right>
      <top/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medium">
        <color indexed="64"/>
      </right>
      <top/>
      <bottom style="thin">
        <color rgb="FF333333"/>
      </bottom>
      <diagonal/>
    </border>
    <border>
      <left style="medium">
        <color indexed="64"/>
      </left>
      <right style="thin">
        <color rgb="FF333333"/>
      </right>
      <top style="thin">
        <color rgb="FF333333"/>
      </top>
      <bottom style="medium">
        <color indexed="64"/>
      </bottom>
      <diagonal/>
    </border>
    <border>
      <left style="thin">
        <color rgb="FF333333"/>
      </left>
      <right/>
      <top style="thin">
        <color rgb="FF333333"/>
      </top>
      <bottom style="medium">
        <color indexed="64"/>
      </bottom>
      <diagonal/>
    </border>
    <border>
      <left style="thin">
        <color rgb="FF333333"/>
      </left>
      <right style="thin">
        <color indexed="64"/>
      </right>
      <top style="thin">
        <color rgb="FF33333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33333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33333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 shrinkToFit="1"/>
    </xf>
    <xf numFmtId="178" fontId="6" fillId="0" borderId="0" xfId="0" applyNumberFormat="1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179" fontId="9" fillId="2" borderId="1" xfId="0" applyNumberFormat="1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77" fontId="9" fillId="2" borderId="5" xfId="0" applyNumberFormat="1" applyFont="1" applyFill="1" applyBorder="1" applyAlignment="1">
      <alignment horizontal="center" vertical="center" wrapText="1"/>
    </xf>
    <xf numFmtId="177" fontId="9" fillId="2" borderId="6" xfId="0" applyNumberFormat="1" applyFont="1" applyFill="1" applyBorder="1" applyAlignment="1">
      <alignment horizontal="center" vertical="center" wrapText="1"/>
    </xf>
    <xf numFmtId="179" fontId="9" fillId="2" borderId="7" xfId="0" applyNumberFormat="1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177" fontId="9" fillId="2" borderId="11" xfId="0" applyNumberFormat="1" applyFont="1" applyFill="1" applyBorder="1" applyAlignment="1">
      <alignment horizontal="center" vertical="center" wrapText="1"/>
    </xf>
    <xf numFmtId="177" fontId="9" fillId="2" borderId="12" xfId="0" applyNumberFormat="1" applyFont="1" applyFill="1" applyBorder="1" applyAlignment="1">
      <alignment horizontal="center" vertical="center" wrapText="1"/>
    </xf>
    <xf numFmtId="179" fontId="10" fillId="0" borderId="13" xfId="0" applyNumberFormat="1" applyFont="1" applyBorder="1" applyAlignment="1">
      <alignment horizontal="center" vertical="center" shrinkToFit="1"/>
    </xf>
    <xf numFmtId="180" fontId="10" fillId="0" borderId="14" xfId="0" applyNumberFormat="1" applyFont="1" applyBorder="1" applyAlignment="1">
      <alignment horizontal="right" vertical="center" shrinkToFit="1"/>
    </xf>
    <xf numFmtId="41" fontId="11" fillId="0" borderId="15" xfId="1" applyFont="1" applyBorder="1" applyAlignment="1">
      <alignment horizontal="right" vertical="center" shrinkToFit="1"/>
    </xf>
    <xf numFmtId="41" fontId="11" fillId="0" borderId="16" xfId="1" applyFont="1" applyBorder="1" applyAlignment="1">
      <alignment horizontal="right" vertical="center" shrinkToFit="1"/>
    </xf>
    <xf numFmtId="41" fontId="11" fillId="0" borderId="17" xfId="1" applyFont="1" applyBorder="1" applyAlignment="1">
      <alignment horizontal="right" vertical="center" shrinkToFit="1"/>
    </xf>
    <xf numFmtId="0" fontId="6" fillId="0" borderId="0" xfId="0" applyFont="1" applyAlignment="1">
      <alignment horizontal="left" vertical="center"/>
    </xf>
    <xf numFmtId="0" fontId="12" fillId="0" borderId="0" xfId="0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179" fontId="14" fillId="2" borderId="18" xfId="0" applyNumberFormat="1" applyFont="1" applyFill="1" applyBorder="1" applyAlignment="1">
      <alignment horizontal="center" vertical="center" shrinkToFit="1"/>
    </xf>
    <xf numFmtId="0" fontId="14" fillId="2" borderId="19" xfId="0" applyFont="1" applyFill="1" applyBorder="1" applyAlignment="1">
      <alignment horizontal="center" vertical="center" shrinkToFit="1"/>
    </xf>
    <xf numFmtId="0" fontId="14" fillId="2" borderId="19" xfId="0" applyFont="1" applyFill="1" applyBorder="1" applyAlignment="1">
      <alignment horizontal="center" vertical="center" shrinkToFit="1"/>
    </xf>
    <xf numFmtId="177" fontId="14" fillId="2" borderId="19" xfId="0" applyNumberFormat="1" applyFont="1" applyFill="1" applyBorder="1" applyAlignment="1">
      <alignment horizontal="center" vertical="center" shrinkToFit="1"/>
    </xf>
    <xf numFmtId="177" fontId="14" fillId="2" borderId="20" xfId="0" applyNumberFormat="1" applyFont="1" applyFill="1" applyBorder="1" applyAlignment="1">
      <alignment horizontal="center" vertical="center" shrinkToFit="1"/>
    </xf>
    <xf numFmtId="14" fontId="4" fillId="0" borderId="21" xfId="0" applyNumberFormat="1" applyFont="1" applyFill="1" applyBorder="1" applyAlignment="1">
      <alignment horizontal="center" vertical="center" shrinkToFit="1"/>
    </xf>
    <xf numFmtId="0" fontId="4" fillId="0" borderId="22" xfId="0" applyFont="1" applyFill="1" applyBorder="1" applyAlignment="1">
      <alignment horizontal="center" vertical="center" shrinkToFit="1"/>
    </xf>
    <xf numFmtId="0" fontId="4" fillId="0" borderId="22" xfId="0" applyFont="1" applyFill="1" applyBorder="1" applyAlignment="1">
      <alignment horizontal="center" vertical="center" shrinkToFit="1"/>
    </xf>
    <xf numFmtId="0" fontId="4" fillId="0" borderId="22" xfId="0" applyNumberFormat="1" applyFont="1" applyFill="1" applyBorder="1" applyAlignment="1">
      <alignment horizontal="center" vertical="center" shrinkToFit="1"/>
    </xf>
    <xf numFmtId="41" fontId="4" fillId="0" borderId="22" xfId="1" applyFont="1" applyFill="1" applyBorder="1" applyAlignment="1">
      <alignment horizontal="center" vertical="center" shrinkToFit="1"/>
    </xf>
    <xf numFmtId="41" fontId="4" fillId="0" borderId="23" xfId="1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5" fillId="0" borderId="24" xfId="0" applyNumberFormat="1" applyFont="1" applyBorder="1" applyAlignment="1">
      <alignment horizontal="center" vertical="center"/>
    </xf>
    <xf numFmtId="0" fontId="15" fillId="0" borderId="25" xfId="0" applyNumberFormat="1" applyFont="1" applyBorder="1" applyAlignment="1">
      <alignment horizontal="center" vertical="center"/>
    </xf>
    <xf numFmtId="41" fontId="14" fillId="0" borderId="25" xfId="2" applyFont="1" applyBorder="1" applyAlignment="1">
      <alignment horizontal="center" vertical="center"/>
    </xf>
    <xf numFmtId="41" fontId="14" fillId="0" borderId="26" xfId="2" applyFont="1" applyBorder="1" applyAlignment="1">
      <alignment horizontal="center" vertical="center"/>
    </xf>
  </cellXfs>
  <cellStyles count="3">
    <cellStyle name="쉼표 [0]" xfId="1" builtinId="6"/>
    <cellStyle name="쉼표 [0] 2 3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2636;%20&#50629;&#47924;%20&#44288;&#47144;%20&#51088;&#47308;/2025&#45380;/2025&#45380;%20&#53685;&#51228;&#50896;&#51109;/&#9733;2025&#45380;&#51068;&#50900;&#48324;&#51648;&#52636;&#54788;&#54889;(&#44208;&#49328;&#51088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균형집행(팀) 수정"/>
      <sheetName val="10월전용"/>
      <sheetName val="2회추경"/>
      <sheetName val="3회추경"/>
      <sheetName val="4회추경"/>
      <sheetName val="자금"/>
      <sheetName val="총괄목별(예산결산)"/>
      <sheetName val="원가(재무결산)"/>
      <sheetName val="전체(작성)"/>
      <sheetName val="결산 예산과목"/>
      <sheetName val="월별(예산집행)"/>
      <sheetName val="업무추진비"/>
      <sheetName val="법인카드사용내역"/>
      <sheetName val="업무회의비, 업무추진비 월별(사용x)"/>
      <sheetName val="불용액"/>
      <sheetName val="반납(11.14.)"/>
      <sheetName val="중간결산(12.01)"/>
      <sheetName val="Sheet1"/>
      <sheetName val="농협카드"/>
      <sheetName val="유류카드"/>
      <sheetName val="인건비"/>
      <sheetName val="Sheet2"/>
      <sheetName val="지방세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="85" zoomScaleNormal="85" workbookViewId="0">
      <selection activeCell="J18" sqref="J18"/>
    </sheetView>
  </sheetViews>
  <sheetFormatPr defaultRowHeight="16.5" x14ac:dyDescent="0.15"/>
  <cols>
    <col min="1" max="1" width="15.21875" style="2" customWidth="1"/>
    <col min="2" max="2" width="63.21875" style="2" customWidth="1"/>
    <col min="3" max="3" width="8.6640625" style="2" customWidth="1"/>
    <col min="4" max="4" width="17.77734375" style="2" customWidth="1"/>
    <col min="5" max="5" width="8.6640625" style="2" customWidth="1"/>
    <col min="6" max="6" width="17.77734375" style="2" customWidth="1"/>
    <col min="7" max="7" width="8.6640625" style="2" customWidth="1"/>
    <col min="8" max="8" width="17.77734375" style="2" customWidth="1"/>
    <col min="9" max="9" width="8.6640625" style="2" customWidth="1"/>
    <col min="10" max="10" width="17.77734375" style="2" customWidth="1"/>
    <col min="11" max="16384" width="8.88671875" style="2"/>
  </cols>
  <sheetData>
    <row r="1" spans="1:10" ht="47.25" customHeight="1" x14ac:dyDescent="0.15">
      <c r="A1" s="1">
        <v>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15">
      <c r="A2" s="3"/>
      <c r="B2" s="3"/>
      <c r="C2" s="3"/>
      <c r="D2" s="3"/>
      <c r="E2" s="4"/>
      <c r="F2" s="4"/>
      <c r="J2" s="5"/>
    </row>
    <row r="3" spans="1:10" ht="26.25" x14ac:dyDescent="0.15">
      <c r="A3" s="6">
        <v>8</v>
      </c>
      <c r="B3" s="6"/>
      <c r="C3" s="6"/>
      <c r="D3" s="6"/>
      <c r="E3" s="6"/>
      <c r="F3" s="6"/>
      <c r="G3" s="6"/>
      <c r="H3" s="6"/>
      <c r="I3" s="6"/>
      <c r="J3" s="6"/>
    </row>
    <row r="4" spans="1:10" ht="17.25" thickBot="1" x14ac:dyDescent="0.2">
      <c r="A4" s="7" t="s">
        <v>0</v>
      </c>
      <c r="B4" s="7"/>
      <c r="C4" s="7"/>
      <c r="D4" s="7"/>
      <c r="E4" s="7"/>
      <c r="F4" s="7"/>
      <c r="G4" s="7"/>
      <c r="H4" s="7"/>
      <c r="I4" s="7"/>
      <c r="J4" s="7"/>
    </row>
    <row r="5" spans="1:10" ht="14.25" customHeight="1" x14ac:dyDescent="0.15">
      <c r="A5" s="8" t="s">
        <v>1</v>
      </c>
      <c r="B5" s="9" t="s">
        <v>2</v>
      </c>
      <c r="C5" s="10" t="s">
        <v>3</v>
      </c>
      <c r="D5" s="11"/>
      <c r="E5" s="10" t="s">
        <v>4</v>
      </c>
      <c r="F5" s="11"/>
      <c r="G5" s="10" t="s">
        <v>5</v>
      </c>
      <c r="H5" s="11"/>
      <c r="I5" s="12" t="s">
        <v>6</v>
      </c>
      <c r="J5" s="13"/>
    </row>
    <row r="6" spans="1:10" ht="13.5" customHeight="1" x14ac:dyDescent="0.15">
      <c r="A6" s="14"/>
      <c r="B6" s="15"/>
      <c r="C6" s="16"/>
      <c r="D6" s="17"/>
      <c r="E6" s="16"/>
      <c r="F6" s="17"/>
      <c r="G6" s="16"/>
      <c r="H6" s="17"/>
      <c r="I6" s="18"/>
      <c r="J6" s="19"/>
    </row>
    <row r="7" spans="1:10" ht="32.25" customHeight="1" thickBot="1" x14ac:dyDescent="0.2">
      <c r="A7" s="20" t="s">
        <v>7</v>
      </c>
      <c r="B7" s="21">
        <f>G17</f>
        <v>464400</v>
      </c>
      <c r="C7" s="22">
        <f>COUNTIF($C$12:$D$27,C5)</f>
        <v>4</v>
      </c>
      <c r="D7" s="23">
        <f>SUMIF($C$12:$D$26,C5,$G$12:$H$26)</f>
        <v>404400</v>
      </c>
      <c r="E7" s="22">
        <f>COUNTIF($C$12:$D$26,E5)</f>
        <v>1</v>
      </c>
      <c r="F7" s="23">
        <f>SUMIF($C$12:$D$26,E5,$G$12:$H$26)</f>
        <v>60000</v>
      </c>
      <c r="G7" s="22">
        <f>COUNTIF($C$12:$D$26,G5)</f>
        <v>0</v>
      </c>
      <c r="H7" s="23">
        <f>SUMIF($C$12:$D$26,G5,$G$12:$H$26)</f>
        <v>0</v>
      </c>
      <c r="I7" s="22">
        <f>COUNTIF($C$12:$D$26,I5)</f>
        <v>0</v>
      </c>
      <c r="J7" s="24">
        <f>SUMIF($C$12:$D$26,I5,$G$12:$H$26)</f>
        <v>0</v>
      </c>
    </row>
    <row r="8" spans="1:10" x14ac:dyDescent="0.15">
      <c r="A8" s="3"/>
      <c r="B8" s="3"/>
      <c r="C8" s="3"/>
      <c r="D8" s="3"/>
      <c r="E8" s="3"/>
      <c r="F8" s="3"/>
      <c r="G8" s="3"/>
      <c r="H8" s="3"/>
      <c r="I8" s="3"/>
      <c r="J8" s="5"/>
    </row>
    <row r="9" spans="1:10" ht="26.25" x14ac:dyDescent="0.15">
      <c r="A9" s="25" t="s">
        <v>8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8" thickBot="1" x14ac:dyDescent="0.2">
      <c r="A10" s="26"/>
      <c r="B10" s="27"/>
      <c r="E10" s="27"/>
      <c r="F10" s="27"/>
      <c r="H10" s="28" t="s">
        <v>9</v>
      </c>
      <c r="I10" s="28"/>
    </row>
    <row r="11" spans="1:10" ht="30.75" customHeight="1" x14ac:dyDescent="0.15">
      <c r="A11" s="29" t="s">
        <v>10</v>
      </c>
      <c r="B11" s="30" t="s">
        <v>11</v>
      </c>
      <c r="C11" s="31" t="s">
        <v>12</v>
      </c>
      <c r="D11" s="31"/>
      <c r="E11" s="31" t="s">
        <v>13</v>
      </c>
      <c r="F11" s="31"/>
      <c r="G11" s="32" t="s">
        <v>14</v>
      </c>
      <c r="H11" s="33"/>
    </row>
    <row r="12" spans="1:10" ht="21" customHeight="1" x14ac:dyDescent="0.15">
      <c r="A12" s="34">
        <v>45876</v>
      </c>
      <c r="B12" s="35" t="s">
        <v>15</v>
      </c>
      <c r="C12" s="36" t="s">
        <v>4</v>
      </c>
      <c r="D12" s="36"/>
      <c r="E12" s="37" t="s">
        <v>16</v>
      </c>
      <c r="F12" s="37"/>
      <c r="G12" s="38">
        <v>60000</v>
      </c>
      <c r="H12" s="39"/>
    </row>
    <row r="13" spans="1:10" ht="21" customHeight="1" x14ac:dyDescent="0.15">
      <c r="A13" s="34">
        <v>45880</v>
      </c>
      <c r="B13" s="40" t="s">
        <v>17</v>
      </c>
      <c r="C13" s="41" t="s">
        <v>3</v>
      </c>
      <c r="D13" s="41"/>
      <c r="E13" s="37" t="s">
        <v>18</v>
      </c>
      <c r="F13" s="37"/>
      <c r="G13" s="38">
        <v>127400</v>
      </c>
      <c r="H13" s="39"/>
    </row>
    <row r="14" spans="1:10" ht="21" customHeight="1" x14ac:dyDescent="0.15">
      <c r="A14" s="34">
        <v>45888</v>
      </c>
      <c r="B14" s="40" t="s">
        <v>19</v>
      </c>
      <c r="C14" s="41" t="s">
        <v>3</v>
      </c>
      <c r="D14" s="41"/>
      <c r="E14" s="37" t="s">
        <v>20</v>
      </c>
      <c r="F14" s="37"/>
      <c r="G14" s="38">
        <v>78000</v>
      </c>
      <c r="H14" s="39"/>
    </row>
    <row r="15" spans="1:10" ht="21" customHeight="1" x14ac:dyDescent="0.15">
      <c r="A15" s="34">
        <v>45890</v>
      </c>
      <c r="B15" s="40" t="s">
        <v>21</v>
      </c>
      <c r="C15" s="41" t="s">
        <v>3</v>
      </c>
      <c r="D15" s="41"/>
      <c r="E15" s="37" t="s">
        <v>22</v>
      </c>
      <c r="F15" s="37"/>
      <c r="G15" s="38">
        <v>56000</v>
      </c>
      <c r="H15" s="39"/>
    </row>
    <row r="16" spans="1:10" ht="21" customHeight="1" x14ac:dyDescent="0.15">
      <c r="A16" s="34">
        <v>45895</v>
      </c>
      <c r="B16" s="40" t="s">
        <v>23</v>
      </c>
      <c r="C16" s="41" t="s">
        <v>3</v>
      </c>
      <c r="D16" s="41"/>
      <c r="E16" s="37" t="s">
        <v>24</v>
      </c>
      <c r="F16" s="37"/>
      <c r="G16" s="38">
        <v>143000</v>
      </c>
      <c r="H16" s="39"/>
    </row>
    <row r="17" spans="1:8" ht="27" thickBot="1" x14ac:dyDescent="0.2">
      <c r="A17" s="42" t="s">
        <v>25</v>
      </c>
      <c r="B17" s="43"/>
      <c r="C17" s="43"/>
      <c r="D17" s="43"/>
      <c r="E17" s="43"/>
      <c r="F17" s="43"/>
      <c r="G17" s="44">
        <f>SUM(G12:H16)</f>
        <v>464400</v>
      </c>
      <c r="H17" s="45"/>
    </row>
  </sheetData>
  <mergeCells count="30">
    <mergeCell ref="A17:F17"/>
    <mergeCell ref="G17:H17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A9:J9"/>
    <mergeCell ref="C11:D11"/>
    <mergeCell ref="E11:F11"/>
    <mergeCell ref="G11:H11"/>
    <mergeCell ref="C12:D12"/>
    <mergeCell ref="E12:F12"/>
    <mergeCell ref="G12:H12"/>
    <mergeCell ref="A1:J1"/>
    <mergeCell ref="A3:J3"/>
    <mergeCell ref="A4:J4"/>
    <mergeCell ref="A5:A6"/>
    <mergeCell ref="B5:B6"/>
    <mergeCell ref="C5:D6"/>
    <mergeCell ref="E5:F6"/>
    <mergeCell ref="G5:H6"/>
    <mergeCell ref="I5:J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2025-09-01T01:13:04Z</dcterms:created>
  <dcterms:modified xsi:type="dcterms:W3CDTF">2025-09-01T01:13:13Z</dcterms:modified>
</cp:coreProperties>
</file>