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업무추진비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G24" i="1"/>
  <c r="B7" i="1" s="1"/>
</calcChain>
</file>

<file path=xl/sharedStrings.xml><?xml version="1.0" encoding="utf-8"?>
<sst xmlns="http://schemas.openxmlformats.org/spreadsheetml/2006/main" count="52" uniqueCount="38">
  <si>
    <t>합 계</t>
    <phoneticPr fontId="7" type="noConversion"/>
  </si>
  <si>
    <t>우리끼리 아지트</t>
  </si>
  <si>
    <t>경조사 및 직원격려</t>
    <phoneticPr fontId="7" type="noConversion"/>
  </si>
  <si>
    <t>경영기획팀 직원 격려 간담회 급식비 지급</t>
  </si>
  <si>
    <t>삼호복집</t>
  </si>
  <si>
    <t>안전감사팀 직원 격려 간담회 급식비 지급</t>
  </si>
  <si>
    <t>바움</t>
  </si>
  <si>
    <t>경조사에 따른 화환비 지급(스포츠센터팀 정O결 주임 빙부상)</t>
    <phoneticPr fontId="7" type="noConversion"/>
  </si>
  <si>
    <t>직원</t>
  </si>
  <si>
    <t>경조사비 지급(복지사업팀 한O수 주임 빙부상)</t>
    <phoneticPr fontId="7" type="noConversion"/>
  </si>
  <si>
    <t>보배담 안성양성점</t>
  </si>
  <si>
    <t>한공협 참석 직원 격려 간담회 급식비 지급</t>
  </si>
  <si>
    <t>백제궁수라간</t>
  </si>
  <si>
    <t>해밥달밥</t>
  </si>
  <si>
    <t>회의 및 간담회</t>
    <phoneticPr fontId="7" type="noConversion"/>
  </si>
  <si>
    <t>예산특별위원회 참석 직원 격려 간담회 급식비 지급</t>
  </si>
  <si>
    <t>직원(김O진) 경조사(자녀결혼) 축하화환비 지급</t>
    <phoneticPr fontId="7" type="noConversion"/>
  </si>
  <si>
    <t>처인휴게소</t>
  </si>
  <si>
    <t>개발사업팀 직원 격려 간담회 급식비 지급</t>
  </si>
  <si>
    <t>롯데마트 오산점</t>
  </si>
  <si>
    <t>기타</t>
    <phoneticPr fontId="7" type="noConversion"/>
  </si>
  <si>
    <t>부속실 차류 및 다과 구입</t>
  </si>
  <si>
    <t>담미 숯불갈비</t>
  </si>
  <si>
    <t>사업운영팀 직원 격려 간담회 급식비 지급</t>
  </si>
  <si>
    <t>청담집</t>
  </si>
  <si>
    <t>스포츠센터팀 직원 격려 간담회 급식비 지급</t>
  </si>
  <si>
    <t>집행액</t>
    <phoneticPr fontId="7" type="noConversion"/>
  </si>
  <si>
    <t>거래처</t>
    <phoneticPr fontId="7" type="noConversion"/>
  </si>
  <si>
    <t>집행구분</t>
    <phoneticPr fontId="7" type="noConversion"/>
  </si>
  <si>
    <t>집    행    내    용</t>
    <phoneticPr fontId="7" type="noConversion"/>
  </si>
  <si>
    <t>집  행  일</t>
    <phoneticPr fontId="7" type="noConversion"/>
  </si>
  <si>
    <t>(단위: 원)</t>
    <phoneticPr fontId="7" type="noConversion"/>
  </si>
  <si>
    <t>□ 세부집행내역</t>
    <phoneticPr fontId="7" type="noConversion"/>
  </si>
  <si>
    <t>2025년 9월</t>
    <phoneticPr fontId="7" type="noConversion"/>
  </si>
  <si>
    <t>홍보기념품</t>
    <phoneticPr fontId="7" type="noConversion"/>
  </si>
  <si>
    <t>합   계</t>
    <phoneticPr fontId="7" type="noConversion"/>
  </si>
  <si>
    <t>구   분</t>
  </si>
  <si>
    <t>(단위: 건/원)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</si>
</sst>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);[Red]\(#,##0\)"/>
    <numFmt numFmtId="177" formatCode="0_);[Red]\(0\)"/>
    <numFmt numFmtId="178" formatCode="#,###&quot;원&quot;"/>
    <numFmt numFmtId="179" formatCode="&quot;□ &quot;0&quot;월 지출유형별 집행내역 총괄&quot;"/>
    <numFmt numFmtId="180" formatCode="&quot;오산도시공사 2025년 &quot;0&quot;월 업무추진비 집행 내역&quot;"/>
  </numFmts>
  <fonts count="17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4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rgb="FF333333"/>
      </left>
      <right/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indexed="64"/>
      </right>
      <top/>
      <bottom style="thin">
        <color rgb="FF333333"/>
      </bottom>
      <diagonal/>
    </border>
    <border>
      <left style="thin">
        <color indexed="64"/>
      </left>
      <right/>
      <top/>
      <bottom style="thin">
        <color rgb="FF333333"/>
      </bottom>
      <diagonal/>
    </border>
    <border>
      <left style="thin">
        <color rgb="FF333333"/>
      </left>
      <right style="thin">
        <color indexed="64"/>
      </right>
      <top/>
      <bottom style="thin">
        <color rgb="FF333333"/>
      </bottom>
      <diagonal/>
    </border>
    <border>
      <left style="medium">
        <color indexed="64"/>
      </left>
      <right style="thin">
        <color rgb="FF333333"/>
      </right>
      <top/>
      <bottom style="thin">
        <color rgb="FF33333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33333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33333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41" fontId="5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1" fontId="2" fillId="0" borderId="4" xfId="1" applyFont="1" applyFill="1" applyBorder="1" applyAlignment="1">
      <alignment horizontal="center" vertical="center" shrinkToFit="1"/>
    </xf>
    <xf numFmtId="41" fontId="2" fillId="0" borderId="5" xfId="1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176" fontId="5" fillId="2" borderId="7" xfId="0" applyNumberFormat="1" applyFont="1" applyFill="1" applyBorder="1" applyAlignment="1">
      <alignment horizontal="center" vertical="center" shrinkToFit="1"/>
    </xf>
    <xf numFmtId="176" fontId="5" fillId="2" borderId="8" xfId="0" applyNumberFormat="1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177" fontId="5" fillId="2" borderId="9" xfId="0" applyNumberFormat="1" applyFont="1" applyFill="1" applyBorder="1" applyAlignment="1">
      <alignment horizontal="center" vertical="center" shrinkToFit="1"/>
    </xf>
    <xf numFmtId="0" fontId="8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176" fontId="11" fillId="0" borderId="0" xfId="0" applyNumberFormat="1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41" fontId="12" fillId="0" borderId="10" xfId="1" applyFont="1" applyBorder="1" applyAlignment="1">
      <alignment horizontal="right" vertical="center" shrinkToFit="1"/>
    </xf>
    <xf numFmtId="41" fontId="12" fillId="0" borderId="11" xfId="1" applyFont="1" applyBorder="1" applyAlignment="1">
      <alignment horizontal="right" vertical="center" shrinkToFit="1"/>
    </xf>
    <xf numFmtId="41" fontId="12" fillId="0" borderId="12" xfId="1" applyFont="1" applyBorder="1" applyAlignment="1">
      <alignment horizontal="right" vertical="center" shrinkToFit="1"/>
    </xf>
    <xf numFmtId="178" fontId="13" fillId="0" borderId="13" xfId="0" applyNumberFormat="1" applyFont="1" applyBorder="1" applyAlignment="1">
      <alignment horizontal="right" vertical="center" shrinkToFit="1"/>
    </xf>
    <xf numFmtId="177" fontId="13" fillId="0" borderId="14" xfId="0" applyNumberFormat="1" applyFont="1" applyBorder="1" applyAlignment="1">
      <alignment horizontal="center" vertical="center" shrinkToFit="1"/>
    </xf>
    <xf numFmtId="176" fontId="14" fillId="2" borderId="15" xfId="0" applyNumberFormat="1" applyFont="1" applyFill="1" applyBorder="1" applyAlignment="1">
      <alignment horizontal="center" vertical="center" wrapText="1"/>
    </xf>
    <xf numFmtId="176" fontId="14" fillId="2" borderId="16" xfId="0" applyNumberFormat="1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shrinkToFit="1"/>
    </xf>
    <xf numFmtId="176" fontId="14" fillId="2" borderId="21" xfId="0" applyNumberFormat="1" applyFont="1" applyFill="1" applyBorder="1" applyAlignment="1">
      <alignment horizontal="center" vertical="center" wrapText="1"/>
    </xf>
    <xf numFmtId="176" fontId="14" fillId="2" borderId="22" xfId="0" applyNumberFormat="1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177" fontId="14" fillId="2" borderId="26" xfId="0" applyNumberFormat="1" applyFont="1" applyFill="1" applyBorder="1" applyAlignment="1">
      <alignment horizontal="center" vertical="center" shrinkToFit="1"/>
    </xf>
    <xf numFmtId="0" fontId="15" fillId="0" borderId="0" xfId="0" applyFont="1" applyBorder="1" applyAlignment="1">
      <alignment horizontal="right" vertical="center"/>
    </xf>
    <xf numFmtId="179" fontId="1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85" zoomScaleNormal="85" workbookViewId="0">
      <selection activeCell="B29" sqref="B29"/>
    </sheetView>
  </sheetViews>
  <sheetFormatPr defaultRowHeight="16.5"/>
  <cols>
    <col min="1" max="1" width="15.21875" style="1" customWidth="1"/>
    <col min="2" max="2" width="63.21875" style="1" customWidth="1"/>
    <col min="3" max="3" width="8.6640625" style="1" customWidth="1"/>
    <col min="4" max="4" width="17.77734375" style="1" customWidth="1"/>
    <col min="5" max="5" width="8.6640625" style="1" customWidth="1"/>
    <col min="6" max="6" width="17.77734375" style="1" customWidth="1"/>
    <col min="7" max="7" width="8.6640625" style="1" customWidth="1"/>
    <col min="8" max="8" width="17.77734375" style="1" customWidth="1"/>
    <col min="9" max="9" width="8.6640625" style="1" customWidth="1"/>
    <col min="10" max="10" width="17.77734375" style="1" customWidth="1"/>
    <col min="11" max="16384" width="8.88671875" style="1"/>
  </cols>
  <sheetData>
    <row r="1" spans="1:10" ht="47.25" customHeight="1">
      <c r="A1" s="45">
        <v>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24"/>
      <c r="B2" s="24"/>
      <c r="C2" s="24"/>
      <c r="D2" s="24"/>
      <c r="E2" s="44"/>
      <c r="F2" s="44"/>
      <c r="J2" s="23"/>
    </row>
    <row r="3" spans="1:10" ht="26.25">
      <c r="A3" s="43">
        <v>9</v>
      </c>
      <c r="B3" s="43"/>
      <c r="C3" s="43"/>
      <c r="D3" s="43"/>
      <c r="E3" s="43"/>
      <c r="F3" s="43"/>
      <c r="G3" s="43"/>
      <c r="H3" s="43"/>
      <c r="I3" s="43"/>
      <c r="J3" s="43"/>
    </row>
    <row r="4" spans="1:10" ht="17.25" thickBot="1">
      <c r="A4" s="42" t="s">
        <v>37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ht="14.25" customHeight="1">
      <c r="A5" s="41" t="s">
        <v>36</v>
      </c>
      <c r="B5" s="40" t="s">
        <v>35</v>
      </c>
      <c r="C5" s="39" t="s">
        <v>2</v>
      </c>
      <c r="D5" s="38"/>
      <c r="E5" s="39" t="s">
        <v>14</v>
      </c>
      <c r="F5" s="38"/>
      <c r="G5" s="39" t="s">
        <v>34</v>
      </c>
      <c r="H5" s="38"/>
      <c r="I5" s="37" t="s">
        <v>20</v>
      </c>
      <c r="J5" s="36"/>
    </row>
    <row r="6" spans="1:10" ht="13.5" customHeight="1">
      <c r="A6" s="35"/>
      <c r="B6" s="34"/>
      <c r="C6" s="33"/>
      <c r="D6" s="32"/>
      <c r="E6" s="33"/>
      <c r="F6" s="32"/>
      <c r="G6" s="33"/>
      <c r="H6" s="32"/>
      <c r="I6" s="31"/>
      <c r="J6" s="30"/>
    </row>
    <row r="7" spans="1:10" ht="32.25" customHeight="1" thickBot="1">
      <c r="A7" s="29" t="s">
        <v>33</v>
      </c>
      <c r="B7" s="28">
        <f>G24</f>
        <v>1146720</v>
      </c>
      <c r="C7" s="26">
        <f>COUNTIF($C$12:$D$34,C5)</f>
        <v>10</v>
      </c>
      <c r="D7" s="27">
        <f>SUMIF($C$12:$D$33,C5,$G$12:$H$33)</f>
        <v>807000</v>
      </c>
      <c r="E7" s="26">
        <f>COUNTIF($C$12:$D$33,E5)</f>
        <v>1</v>
      </c>
      <c r="F7" s="27">
        <f>SUMIF($C$12:$D$33,E5,$G$12:$H$33)</f>
        <v>128000</v>
      </c>
      <c r="G7" s="26">
        <f>COUNTIF($C$12:$D$33,G5)</f>
        <v>0</v>
      </c>
      <c r="H7" s="27">
        <f>SUMIF($C$12:$D$33,G5,$G$12:$H$33)</f>
        <v>0</v>
      </c>
      <c r="I7" s="26">
        <f>COUNTIF($C$12:$D$33,I5)</f>
        <v>1</v>
      </c>
      <c r="J7" s="25">
        <f>SUMIF($C$12:$D$33,I5,$G$12:$H$33)</f>
        <v>211720</v>
      </c>
    </row>
    <row r="8" spans="1:10">
      <c r="A8" s="24"/>
      <c r="B8" s="24"/>
      <c r="C8" s="24"/>
      <c r="D8" s="24"/>
      <c r="E8" s="24"/>
      <c r="F8" s="24"/>
      <c r="G8" s="24"/>
      <c r="H8" s="24"/>
      <c r="I8" s="24"/>
      <c r="J8" s="23"/>
    </row>
    <row r="9" spans="1:10" ht="26.25">
      <c r="A9" s="22" t="s">
        <v>32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ht="18" thickBot="1">
      <c r="A10" s="21"/>
      <c r="B10" s="20"/>
      <c r="E10" s="20"/>
      <c r="F10" s="20"/>
      <c r="H10" s="19" t="s">
        <v>31</v>
      </c>
      <c r="I10" s="19"/>
    </row>
    <row r="11" spans="1:10" ht="30.75" customHeight="1">
      <c r="A11" s="18" t="s">
        <v>30</v>
      </c>
      <c r="B11" s="17" t="s">
        <v>29</v>
      </c>
      <c r="C11" s="16" t="s">
        <v>28</v>
      </c>
      <c r="D11" s="16"/>
      <c r="E11" s="16" t="s">
        <v>27</v>
      </c>
      <c r="F11" s="16"/>
      <c r="G11" s="15" t="s">
        <v>26</v>
      </c>
      <c r="H11" s="14"/>
    </row>
    <row r="12" spans="1:10" ht="21" customHeight="1">
      <c r="A12" s="11">
        <v>45897</v>
      </c>
      <c r="B12" s="13" t="s">
        <v>25</v>
      </c>
      <c r="C12" s="12" t="s">
        <v>2</v>
      </c>
      <c r="D12" s="12"/>
      <c r="E12" s="8" t="s">
        <v>24</v>
      </c>
      <c r="F12" s="8"/>
      <c r="G12" s="7">
        <v>54000</v>
      </c>
      <c r="H12" s="6"/>
    </row>
    <row r="13" spans="1:10" ht="21" customHeight="1">
      <c r="A13" s="11">
        <v>45897</v>
      </c>
      <c r="B13" s="10" t="s">
        <v>23</v>
      </c>
      <c r="C13" s="9" t="s">
        <v>2</v>
      </c>
      <c r="D13" s="9"/>
      <c r="E13" s="8" t="s">
        <v>22</v>
      </c>
      <c r="F13" s="8"/>
      <c r="G13" s="7">
        <v>183000</v>
      </c>
      <c r="H13" s="6"/>
    </row>
    <row r="14" spans="1:10" ht="21" customHeight="1">
      <c r="A14" s="11">
        <v>45902</v>
      </c>
      <c r="B14" s="10" t="s">
        <v>21</v>
      </c>
      <c r="C14" s="9" t="s">
        <v>20</v>
      </c>
      <c r="D14" s="9"/>
      <c r="E14" s="8" t="s">
        <v>19</v>
      </c>
      <c r="F14" s="8"/>
      <c r="G14" s="7">
        <v>211720</v>
      </c>
      <c r="H14" s="6"/>
    </row>
    <row r="15" spans="1:10" ht="21" customHeight="1">
      <c r="A15" s="11">
        <v>45902</v>
      </c>
      <c r="B15" s="10" t="s">
        <v>18</v>
      </c>
      <c r="C15" s="9" t="s">
        <v>2</v>
      </c>
      <c r="D15" s="9"/>
      <c r="E15" s="8" t="s">
        <v>17</v>
      </c>
      <c r="F15" s="8"/>
      <c r="G15" s="7">
        <v>60000</v>
      </c>
      <c r="H15" s="6"/>
    </row>
    <row r="16" spans="1:10" ht="21" customHeight="1">
      <c r="A16" s="11">
        <v>45905</v>
      </c>
      <c r="B16" s="10" t="s">
        <v>16</v>
      </c>
      <c r="C16" s="9" t="s">
        <v>2</v>
      </c>
      <c r="D16" s="9"/>
      <c r="E16" s="8" t="s">
        <v>6</v>
      </c>
      <c r="F16" s="8"/>
      <c r="G16" s="7">
        <v>50000</v>
      </c>
      <c r="H16" s="6"/>
    </row>
    <row r="17" spans="1:8" ht="21" customHeight="1">
      <c r="A17" s="11">
        <v>45905</v>
      </c>
      <c r="B17" s="10" t="s">
        <v>15</v>
      </c>
      <c r="C17" s="9" t="s">
        <v>14</v>
      </c>
      <c r="D17" s="9"/>
      <c r="E17" s="8" t="s">
        <v>13</v>
      </c>
      <c r="F17" s="8"/>
      <c r="G17" s="7">
        <v>128000</v>
      </c>
      <c r="H17" s="6"/>
    </row>
    <row r="18" spans="1:8" ht="21" customHeight="1">
      <c r="A18" s="11">
        <v>45915</v>
      </c>
      <c r="B18" s="10" t="s">
        <v>11</v>
      </c>
      <c r="C18" s="9" t="s">
        <v>2</v>
      </c>
      <c r="D18" s="9"/>
      <c r="E18" s="8" t="s">
        <v>12</v>
      </c>
      <c r="F18" s="8"/>
      <c r="G18" s="7">
        <v>84000</v>
      </c>
      <c r="H18" s="6"/>
    </row>
    <row r="19" spans="1:8" ht="21" customHeight="1">
      <c r="A19" s="11">
        <v>45916</v>
      </c>
      <c r="B19" s="10" t="s">
        <v>11</v>
      </c>
      <c r="C19" s="9" t="s">
        <v>2</v>
      </c>
      <c r="D19" s="9"/>
      <c r="E19" s="8" t="s">
        <v>10</v>
      </c>
      <c r="F19" s="8"/>
      <c r="G19" s="7">
        <v>30000</v>
      </c>
      <c r="H19" s="6"/>
    </row>
    <row r="20" spans="1:8" ht="21" customHeight="1">
      <c r="A20" s="11">
        <v>45919</v>
      </c>
      <c r="B20" s="10" t="s">
        <v>9</v>
      </c>
      <c r="C20" s="9" t="s">
        <v>2</v>
      </c>
      <c r="D20" s="9"/>
      <c r="E20" s="8" t="s">
        <v>8</v>
      </c>
      <c r="F20" s="8"/>
      <c r="G20" s="7">
        <v>50000</v>
      </c>
      <c r="H20" s="6"/>
    </row>
    <row r="21" spans="1:8" ht="21" customHeight="1">
      <c r="A21" s="11">
        <v>45922</v>
      </c>
      <c r="B21" s="10" t="s">
        <v>7</v>
      </c>
      <c r="C21" s="9" t="s">
        <v>2</v>
      </c>
      <c r="D21" s="9"/>
      <c r="E21" s="8" t="s">
        <v>6</v>
      </c>
      <c r="F21" s="8"/>
      <c r="G21" s="7">
        <v>50000</v>
      </c>
      <c r="H21" s="6"/>
    </row>
    <row r="22" spans="1:8" ht="21" customHeight="1">
      <c r="A22" s="11">
        <v>45925</v>
      </c>
      <c r="B22" s="10" t="s">
        <v>5</v>
      </c>
      <c r="C22" s="9" t="s">
        <v>2</v>
      </c>
      <c r="D22" s="9"/>
      <c r="E22" s="8" t="s">
        <v>4</v>
      </c>
      <c r="F22" s="8"/>
      <c r="G22" s="7">
        <v>92000</v>
      </c>
      <c r="H22" s="6"/>
    </row>
    <row r="23" spans="1:8" ht="21" customHeight="1">
      <c r="A23" s="11">
        <v>45925</v>
      </c>
      <c r="B23" s="10" t="s">
        <v>3</v>
      </c>
      <c r="C23" s="9" t="s">
        <v>2</v>
      </c>
      <c r="D23" s="9"/>
      <c r="E23" s="8" t="s">
        <v>1</v>
      </c>
      <c r="F23" s="8"/>
      <c r="G23" s="7">
        <v>154000</v>
      </c>
      <c r="H23" s="6"/>
    </row>
    <row r="24" spans="1:8" ht="27" thickBot="1">
      <c r="A24" s="5" t="s">
        <v>0</v>
      </c>
      <c r="B24" s="4"/>
      <c r="C24" s="4"/>
      <c r="D24" s="4"/>
      <c r="E24" s="4"/>
      <c r="F24" s="4"/>
      <c r="G24" s="3">
        <f>SUM(G12:H23)</f>
        <v>1146720</v>
      </c>
      <c r="H24" s="2"/>
    </row>
  </sheetData>
  <mergeCells count="51">
    <mergeCell ref="E12:F12"/>
    <mergeCell ref="C11:D11"/>
    <mergeCell ref="E13:F13"/>
    <mergeCell ref="E21:F21"/>
    <mergeCell ref="E23:F23"/>
    <mergeCell ref="C12:D12"/>
    <mergeCell ref="C13:D13"/>
    <mergeCell ref="C21:D21"/>
    <mergeCell ref="C14:D14"/>
    <mergeCell ref="C15:D15"/>
    <mergeCell ref="G24:H24"/>
    <mergeCell ref="A24:F24"/>
    <mergeCell ref="G11:H11"/>
    <mergeCell ref="G12:H12"/>
    <mergeCell ref="G13:H13"/>
    <mergeCell ref="G21:H21"/>
    <mergeCell ref="G23:H23"/>
    <mergeCell ref="E11:F11"/>
    <mergeCell ref="A1:J1"/>
    <mergeCell ref="A9:J9"/>
    <mergeCell ref="A3:J3"/>
    <mergeCell ref="A4:J4"/>
    <mergeCell ref="A5:A6"/>
    <mergeCell ref="B5:B6"/>
    <mergeCell ref="C5:D6"/>
    <mergeCell ref="E5:F6"/>
    <mergeCell ref="G5:H6"/>
    <mergeCell ref="I5:J6"/>
    <mergeCell ref="C19:D19"/>
    <mergeCell ref="C20:D20"/>
    <mergeCell ref="C23:D23"/>
    <mergeCell ref="C22:D22"/>
    <mergeCell ref="E22:F22"/>
    <mergeCell ref="G22:H22"/>
    <mergeCell ref="E15:F15"/>
    <mergeCell ref="E16:F16"/>
    <mergeCell ref="E17:F17"/>
    <mergeCell ref="E18:F18"/>
    <mergeCell ref="C16:D16"/>
    <mergeCell ref="C17:D17"/>
    <mergeCell ref="C18:D18"/>
    <mergeCell ref="E19:F19"/>
    <mergeCell ref="E20:F20"/>
    <mergeCell ref="G14:H14"/>
    <mergeCell ref="G15:H15"/>
    <mergeCell ref="G16:H16"/>
    <mergeCell ref="G17:H17"/>
    <mergeCell ref="G18:H18"/>
    <mergeCell ref="G19:H19"/>
    <mergeCell ref="G20:H20"/>
    <mergeCell ref="E14:F1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2025-10-01T05:43:01Z</dcterms:created>
  <dcterms:modified xsi:type="dcterms:W3CDTF">2025-10-01T05:43:36Z</dcterms:modified>
</cp:coreProperties>
</file>